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f596e90f4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688e96bf0b24e3a"/>
    <x:sheet xmlns:r="http://schemas.openxmlformats.org/officeDocument/2006/relationships" name="Ingredients Master" sheetId="2" r:id="Rf6a47d7f32bc42dd"/>
    <x:sheet xmlns:r="http://schemas.openxmlformats.org/officeDocument/2006/relationships" name="Packaging_Consumables" sheetId="3" r:id="R090a007563e14131"/>
    <x:sheet xmlns:r="http://schemas.openxmlformats.org/officeDocument/2006/relationships" name="Price_Log" sheetId="4" r:id="Ra2b232ceabed4763"/>
    <x:sheet xmlns:r="http://schemas.openxmlformats.org/officeDocument/2006/relationships" name="Measures_Locks" sheetId="5" r:id="R45ad67aa9c664712"/>
    <x:sheet xmlns:r="http://schemas.openxmlformats.org/officeDocument/2006/relationships" name="Gas_Prices" sheetId="6" r:id="R82e6b01d26174f19"/>
    <x:sheet xmlns:r="http://schemas.openxmlformats.org/officeDocument/2006/relationships" name="Updated_Price_List" sheetId="7" r:id="R5864b5886648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0"/>
    <x:numFmt numFmtId="202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85723"/>
      </x:patternFill>
    </x:fill>
    <x:fill>
      <x:patternFill patternType="solid">
        <x:fgColor rgb="7F6000"/>
      </x:patternFill>
    </x:fill>
    <x:fill>
      <x:patternFill patternType="solid">
        <x:fgColor rgb="5B2C6F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D1FAE5"/>
      </x:patternFill>
    </x:fill>
  </x:fills>
  <x:borders count="1">
    <x:border/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e845be84c4233" /><Relationship Type="http://schemas.openxmlformats.org/officeDocument/2006/relationships/theme" Target="/xl/theme/theme1.xml" Id="Re4988e2f0c5245db" /><Relationship Type="http://schemas.openxmlformats.org/officeDocument/2006/relationships/sharedStrings" Target="/xl/sharedStrings.xml" Id="R91bebb056e4f4db9" /><Relationship Type="http://schemas.openxmlformats.org/officeDocument/2006/relationships/worksheet" Target="/xl/worksheets/sheet1.xml" Id="R9688e96bf0b24e3a" /><Relationship Type="http://schemas.openxmlformats.org/officeDocument/2006/relationships/worksheet" Target="/xl/worksheets/sheet2.xml" Id="Rf6a47d7f32bc42dd" /><Relationship Type="http://schemas.openxmlformats.org/officeDocument/2006/relationships/worksheet" Target="/xl/worksheets/sheet3.xml" Id="R090a007563e14131" /><Relationship Type="http://schemas.openxmlformats.org/officeDocument/2006/relationships/worksheet" Target="/xl/worksheets/sheet4.xml" Id="Ra2b232ceabed4763" /><Relationship Type="http://schemas.openxmlformats.org/officeDocument/2006/relationships/worksheet" Target="/xl/worksheets/sheet5.xml" Id="R45ad67aa9c664712" /><Relationship Type="http://schemas.openxmlformats.org/officeDocument/2006/relationships/worksheet" Target="/xl/worksheets/sheet6.xml" Id="R82e6b01d26174f19" /><Relationship Type="http://schemas.openxmlformats.org/officeDocument/2006/relationships/worksheet" Target="/xl/worksheets/sheet7.xml" Id="R5864b588664847fb" /></Relationships>
</file>

<file path=xl/tables/table1.xml><?xml version="1.0" encoding="utf-8"?>
<x:table xmlns:x="http://schemas.openxmlformats.org/spreadsheetml/2006/main" id="1" name="GasPricesTable" displayName="GasPricesTable" ref="A2:F5" headerRowCount="1">
  <x:tableColumns count="6">
    <x:tableColumn id="1" name="Cylinder Size"/>
    <x:tableColumn id="2" name="Price (LKR)"/>
    <x:tableColumn id="3" name="Cost per kg (LKR)"/>
    <x:tableColumn id="4" name="Use Case"/>
    <x:tableColumn id="5" name="Status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UpdatedPriceListTable" displayName="UpdatedPriceListTable" ref="A2:J56" headerRowCount="1">
  <x:tableColumns count="10">
    <x:tableColumn id="1" name="Category"/>
    <x:tableColumn id="2" name="Item"/>
    <x:tableColumn id="3" name="Brand / Specification"/>
    <x:tableColumn id="4" name="Pack Size"/>
    <x:tableColumn id="5" name="Pack Qty"/>
    <x:tableColumn id="6" name="Pack Unit"/>
    <x:tableColumn id="7" name="Price (LKR)"/>
    <x:tableColumn id="8" name="Cost per Unit"/>
    <x:tableColumn id="9" name="Supplier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815c325572b744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6529ced345dc4bf7" /></Relationships>
</file>

<file path=xl/worksheets/sheet1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" t="str">
        <x:v>Cheesy Beez Ingredients Workbook</x:v>
      </x:c>
    </x:row>
    <x:row r="2">
      <x:c r="A2" t="str"/>
    </x:row>
    <x:row r="3">
      <x:c r="A3" s="3" t="str">
        <x:v>This workbook is built only from the data currently given by Nisal in this project.</x:v>
      </x:c>
    </x:row>
    <x:row r="4">
      <x:c r="A4" s="3" t="str">
        <x:v>Use Ingredients Master as the main working sheet.</x:v>
      </x:c>
    </x:row>
    <x:row r="5">
      <x:c r="A5" s="3" t="str">
        <x:v>Use Price_Log to see alternative known prices, older prices, and examples from January 2026.</x:v>
      </x:c>
    </x:row>
    <x:row r="6">
      <x:c r="A6" s="3" t="str">
        <x:v>Use Packaging_Consumables for buns, bags, boxes, gas, wrappers, and service materials.</x:v>
      </x:c>
    </x:row>
    <x:row r="7">
      <x:c r="A7" s="3" t="str">
        <x:v>Use Measures_Locks for cup sizes, scoop sizes, jar sizes, and other recipe locks used in costing.</x:v>
      </x:c>
    </x:row>
    <x:row r="8">
      <x:c r="A8" s="3" t="str"/>
    </x:row>
    <x:row r="9">
      <x:c r="A9" s="3" t="str">
        <x:v>Important rules:</x:v>
      </x:c>
    </x:row>
    <x:row r="10">
      <x:c r="A10" s="3" t="str">
        <x:v>1. If a price changes, update the row and note the date / reason.</x:v>
      </x:c>
    </x:row>
    <x:row r="11">
      <x:c r="A11" s="3" t="str">
        <x:v>2. If a supplier price looks suspicious, question it before replacing the standard price.</x:v>
      </x:c>
    </x:row>
    <x:row r="12">
      <x:c r="A12" s="3" t="str">
        <x:v>3. Missing items are left blank or marked Missing instead of guessed.</x:v>
      </x:c>
    </x:row>
    <x:row r="13">
      <x:c r="A13" s="3" t="str">
        <x:v>4. Working prices may be based on latest known or currently used costing price, and examples are kept in Price_Log.</x:v>
      </x:c>
    </x:row>
    <x:row r="14">
      <x:c r="A14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0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20" hidden="0" customWidth="1"/>
    <x:col min="10" max="10" width="22" hidden="0" customWidth="1"/>
    <x:col min="11" max="11" width="36" hidden="0" customWidth="1"/>
    <x:col min="12" max="12" width="12" hidden="0" customWidth="1"/>
  </x:cols>
  <x:sheetData>
    <x:row r="1">
      <x:c r="A1" s="7" t="str">
        <x:v>Category</x:v>
      </x:c>
      <x:c r="B1" s="7" t="str">
        <x:v>Item</x:v>
      </x:c>
      <x:c r="C1" s="7" t="str">
        <x:v>Brand / Specification</x:v>
      </x:c>
      <x:c r="D1" s="7" t="str">
        <x:v>Pack Size Text</x:v>
      </x:c>
      <x:c r="E1" s="7" t="str">
        <x:v>Pack Qty</x:v>
      </x:c>
      <x:c r="F1" s="7" t="str">
        <x:v>Pack Unit</x:v>
      </x:c>
      <x:c r="G1" s="7" t="str">
        <x:v>Working Price (LKR)</x:v>
      </x:c>
      <x:c r="H1" s="7" t="str">
        <x:v>Cost per Unit</x:v>
      </x:c>
      <x:c r="I1" s="7" t="str">
        <x:v>Main Supplier</x:v>
      </x:c>
      <x:c r="J1" s="7" t="str">
        <x:v>Backup / Alternate</x:v>
      </x:c>
      <x:c r="K1" s="7" t="str">
        <x:v>Notes</x:v>
      </x:c>
      <x:c r="L1" s="7" t="str">
        <x:v>Status</x:v>
      </x:c>
    </x:row>
    <x:row r="2">
      <x:c r="A2" s="3" t="str">
        <x:v>Flour</x:v>
      </x:c>
      <x:c r="B2" s="3" t="str">
        <x:v>Pizza Flour</x:v>
      </x:c>
      <x:c r="C2" s="3" t="str">
        <x:v>Prima Top Flour</x:v>
      </x:c>
      <x:c r="D2" s="3" t="str">
        <x:v>25kg bag</x:v>
      </x:c>
      <x:c r="E2" s="3" t="n">
        <x:v>25</x:v>
      </x:c>
      <x:c r="F2" s="3" t="str">
        <x:v>kg</x:v>
      </x:c>
      <x:c r="G2" s="8" t="n">
        <x:v>6400</x:v>
      </x:c>
      <x:c r="H2" s="9" t="n">
        <x:f>IF(OR(E2="",G2=""),"",G2/E2)</x:f>
        <x:v>256</x:v>
      </x:c>
      <x:c r="I2" s="3" t="str">
        <x:v>Prima / David Stores</x:v>
      </x:c>
      <x:c r="J2" s="3" t="str">
        <x:v>Ajantha / urgent courier</x:v>
      </x:c>
      <x:c r="K2" s="3" t="str">
        <x:v>Jan 24 purchase was 6,400 plus 100 tip. Main pizza flour.</x:v>
      </x:c>
      <x:c r="L2" s="3" t="str">
        <x:v>Confirmed</x:v>
      </x:c>
    </x:row>
    <x:row r="3">
      <x:c r="A3" s="3" t="str">
        <x:v>Flour</x:v>
      </x:c>
      <x:c r="B3" s="3" t="str">
        <x:v>A/P Flour</x:v>
      </x:c>
      <x:c r="C3" s="3" t="str">
        <x:v>Wheat flour for dusting</x:v>
      </x:c>
      <x:c r="D3" s="3" t="str">
        <x:v>5kg pack</x:v>
      </x:c>
      <x:c r="E3" s="3" t="n">
        <x:v>5</x:v>
      </x:c>
      <x:c r="F3" s="3" t="str">
        <x:v>kg</x:v>
      </x:c>
      <x:c r="G3" s="8" t="n">
        <x:v>900</x:v>
      </x:c>
      <x:c r="H3" s="9" t="n">
        <x:f>IF(OR(E3="",G3=""),"",G3/E3)</x:f>
        <x:v>180</x:v>
      </x:c>
      <x:c r="I3" s="3" t="str">
        <x:v>Best Buy / SMM</x:v>
      </x:c>
      <x:c r="J3" s="3" t="str">
        <x:v>-</x:v>
      </x:c>
      <x:c r="K3" s="3" t="str">
        <x:v>Used as bench flour / dusting flour.</x:v>
      </x:c>
      <x:c r="L3" s="3" t="str">
        <x:v>Confirmed</x:v>
      </x:c>
    </x:row>
    <x:row r="4">
      <x:c r="A4" s="3" t="str">
        <x:v>Sweetener</x:v>
      </x:c>
      <x:c r="B4" s="3" t="str">
        <x:v>Sugar</x:v>
      </x:c>
      <x:c r="C4" s="3" t="str">
        <x:v>White sugar</x:v>
      </x:c>
      <x:c r="D4" s="3" t="str">
        <x:v>1kg pack</x:v>
      </x:c>
      <x:c r="E4" s="3" t="n">
        <x:v>1</x:v>
      </x:c>
      <x:c r="F4" s="3" t="str">
        <x:v>kg</x:v>
      </x:c>
      <x:c r="G4" s="8" t="n">
        <x:v>220</x:v>
      </x:c>
      <x:c r="H4" s="9" t="n">
        <x:f>IF(OR(E4="",G4=""),"",G4/E4)</x:f>
        <x:v>220</x:v>
      </x:c>
      <x:c r="I4" s="3" t="str">
        <x:v>Best Buy</x:v>
      </x:c>
      <x:c r="J4" s="3" t="str">
        <x:v>-</x:v>
      </x:c>
      <x:c r="K4" s="3" t="str">
        <x:v>Used in dough and milkshakes.</x:v>
      </x:c>
      <x:c r="L4" s="3" t="str">
        <x:v>Confirmed</x:v>
      </x:c>
    </x:row>
    <x:row r="5">
      <x:c r="A5" s="3" t="str">
        <x:v>Seasoning</x:v>
      </x:c>
      <x:c r="B5" s="3" t="str">
        <x:v>Salt</x:v>
      </x:c>
      <x:c r="C5" s="3" t="str">
        <x:v>Table salt</x:v>
      </x:c>
      <x:c r="D5" s="3" t="str">
        <x:v>400g pack</x:v>
      </x:c>
      <x:c r="E5" s="3" t="n">
        <x:v>400</x:v>
      </x:c>
      <x:c r="F5" s="3" t="str">
        <x:v>g</x:v>
      </x:c>
      <x:c r="G5" s="8" t="n">
        <x:v>155</x:v>
      </x:c>
      <x:c r="H5" s="9" t="n">
        <x:f>IF(OR(E5="",G5=""),"",G5/E5)</x:f>
        <x:v>0.3875</x:v>
      </x:c>
      <x:c r="I5" s="3" t="str">
        <x:v>Best Buy / SMM</x:v>
      </x:c>
      <x:c r="J5" s="3" t="str">
        <x:v>Small pack at 120 (qty not locked)</x:v>
      </x:c>
      <x:c r="K5" s="3" t="str">
        <x:v>Base salt cost uses 400g pack.</x:v>
      </x:c>
      <x:c r="L5" s="3" t="str">
        <x:v>Confirmed</x:v>
      </x:c>
    </x:row>
    <x:row r="6">
      <x:c r="A6" s="3" t="str">
        <x:v>Yeast</x:v>
      </x:c>
      <x:c r="B6" s="3" t="str">
        <x:v>Instant yeast</x:v>
      </x:c>
      <x:c r="C6" s="3" t="str">
        <x:v>Mayuripan</x:v>
      </x:c>
      <x:c r="D6" s="3" t="str">
        <x:v>12g x 5 sachets</x:v>
      </x:c>
      <x:c r="E6" s="3" t="n">
        <x:v>60</x:v>
      </x:c>
      <x:c r="F6" s="3" t="str">
        <x:v>g</x:v>
      </x:c>
      <x:c r="G6" s="8" t="n">
        <x:v>460</x:v>
      </x:c>
      <x:c r="H6" s="9" t="n">
        <x:f>IF(OR(E6="",G6=""),"",G6/E6)</x:f>
        <x:v>7.666666666666667</x:v>
      </x:c>
      <x:c r="I6" s="3" t="str">
        <x:v>Ajantha</x:v>
      </x:c>
      <x:c r="J6" s="3" t="str">
        <x:v>-</x:v>
      </x:c>
      <x:c r="K6" s="3" t="str">
        <x:v>Used for dough and culture.</x:v>
      </x:c>
      <x:c r="L6" s="3" t="str">
        <x:v>Confirmed</x:v>
      </x:c>
    </x:row>
    <x:row r="7">
      <x:c r="A7" s="3" t="str">
        <x:v>Cheese</x:v>
      </x:c>
      <x:c r="B7" s="3" t="str">
        <x:v>Mozzarella</x:v>
      </x:c>
      <x:c r="C7" s="3" t="str">
        <x:v>Prabhat / Eastwest</x:v>
      </x:c>
      <x:c r="D7" s="3" t="str">
        <x:v>2kg block</x:v>
      </x:c>
      <x:c r="E7" s="3" t="n">
        <x:v>2</x:v>
      </x:c>
      <x:c r="F7" s="3" t="str">
        <x:v>kg</x:v>
      </x:c>
      <x:c r="G7" s="8" t="n">
        <x:v>5100</x:v>
      </x:c>
      <x:c r="H7" s="9" t="n">
        <x:f>IF(OR(E7="",G7=""),"",G7/E7)</x:f>
        <x:v>2550</x:v>
      </x:c>
      <x:c r="I7" s="3" t="str">
        <x:v>Eastwest</x:v>
      </x:c>
      <x:c r="J7" s="3" t="str">
        <x:v>Ajantha</x:v>
      </x:c>
      <x:c r="K7" s="3" t="str">
        <x:v>One mozzarella source used in blend.</x:v>
      </x:c>
      <x:c r="L7" s="3" t="str">
        <x:v>Confirmed</x:v>
      </x:c>
    </x:row>
    <x:row r="8">
      <x:c r="A8" s="3" t="str">
        <x:v>Cheese</x:v>
      </x:c>
      <x:c r="B8" s="3" t="str">
        <x:v>Mozzarella</x:v>
      </x:c>
      <x:c r="C8" s="3" t="str">
        <x:v>Margarita</x:v>
      </x:c>
      <x:c r="D8" s="3" t="str">
        <x:v>1kg block</x:v>
      </x:c>
      <x:c r="E8" s="3" t="n">
        <x:v>1</x:v>
      </x:c>
      <x:c r="F8" s="3" t="str">
        <x:v>kg</x:v>
      </x:c>
      <x:c r="G8" s="8" t="n">
        <x:v>2900</x:v>
      </x:c>
      <x:c r="H8" s="9" t="n">
        <x:f>IF(OR(E8="",G8=""),"",G8/E8)</x:f>
        <x:v>2900</x:v>
      </x:c>
      <x:c r="I8" s="3" t="str">
        <x:v>Margarita factory</x:v>
      </x:c>
      <x:c r="J8" s="3" t="str">
        <x:v>-</x:v>
      </x:c>
      <x:c r="K8" s="3" t="str">
        <x:v>One mozzarella source used in blend.</x:v>
      </x:c>
      <x:c r="L8" s="3" t="str">
        <x:v>Confirmed</x:v>
      </x:c>
    </x:row>
    <x:row r="9">
      <x:c r="A9" s="3" t="str">
        <x:v>Cheese</x:v>
      </x:c>
      <x:c r="B9" s="3" t="str">
        <x:v>Mozzarella</x:v>
      </x:c>
      <x:c r="C9" s="3" t="str">
        <x:v>Ciao</x:v>
      </x:c>
      <x:c r="D9" s="3" t="str">
        <x:v>2kg block</x:v>
      </x:c>
      <x:c r="E9" s="3" t="n">
        <x:v>2</x:v>
      </x:c>
      <x:c r="F9" s="3" t="str">
        <x:v>kg</x:v>
      </x:c>
      <x:c r="G9" s="8" t="n">
        <x:v>5900</x:v>
      </x:c>
      <x:c r="H9" s="9" t="n">
        <x:f>IF(OR(E9="",G9=""),"",G9/E9)</x:f>
        <x:v>2950</x:v>
      </x:c>
      <x:c r="I9" s="3" t="str">
        <x:v>Ciao</x:v>
      </x:c>
      <x:c r="J9" s="3" t="str">
        <x:v>-</x:v>
      </x:c>
      <x:c r="K9" s="3" t="str">
        <x:v>One mozzarella source used in blend.</x:v>
      </x:c>
      <x:c r="L9" s="3" t="str">
        <x:v>Confirmed</x:v>
      </x:c>
    </x:row>
    <x:row r="10">
      <x:c r="A10" s="3" t="str">
        <x:v>Tomato Base</x:v>
      </x:c>
      <x:c r="B10" s="3" t="str">
        <x:v>Peeled Tomato / Sugo</x:v>
      </x:c>
      <x:c r="C10" s="3" t="str">
        <x:v>Ajantha</x:v>
      </x:c>
      <x:c r="D10" s="3" t="str">
        <x:v>2550g can</x:v>
      </x:c>
      <x:c r="E10" s="3" t="n">
        <x:v>2550</x:v>
      </x:c>
      <x:c r="F10" s="3" t="str">
        <x:v>g</x:v>
      </x:c>
      <x:c r="G10" s="8" t="n">
        <x:v>2850</x:v>
      </x:c>
      <x:c r="H10" s="9" t="n">
        <x:f>IF(OR(E10="",G10=""),"",G10/E10)</x:f>
        <x:v>1.1176470588235294</x:v>
      </x:c>
      <x:c r="I10" s="3" t="str">
        <x:v>Ajantha</x:v>
      </x:c>
      <x:c r="J10" s="3" t="str">
        <x:v>-</x:v>
      </x:c>
      <x:c r="K10" s="3" t="str">
        <x:v>Used in pizza sauce and pasta discussions.</x:v>
      </x:c>
      <x:c r="L10" s="3" t="str">
        <x:v>Confirmed</x:v>
      </x:c>
    </x:row>
    <x:row r="11">
      <x:c r="A11" s="3" t="str">
        <x:v>Tomato Base</x:v>
      </x:c>
      <x:c r="B11" s="3" t="str">
        <x:v>Tomato Paste</x:v>
      </x:c>
      <x:c r="C11" s="3" t="str">
        <x:v>Valle del Sole</x:v>
      </x:c>
      <x:c r="D11" s="3" t="str">
        <x:v>2200g can</x:v>
      </x:c>
      <x:c r="E11" s="3" t="n">
        <x:v>2200</x:v>
      </x:c>
      <x:c r="F11" s="3" t="str">
        <x:v>g</x:v>
      </x:c>
      <x:c r="G11" s="8" t="n">
        <x:v>4012</x:v>
      </x:c>
      <x:c r="H11" s="9" t="n">
        <x:f>IF(OR(E11="",G11=""),"",G11/E11)</x:f>
        <x:v>1.8236363636363637</x:v>
      </x:c>
      <x:c r="I11" s="3" t="str">
        <x:v>Eastwest</x:v>
      </x:c>
      <x:c r="J11" s="3" t="str">
        <x:v>Ajantha</x:v>
      </x:c>
      <x:c r="K11" s="3" t="str">
        <x:v>Used in pizza sauce and pasta discussions.</x:v>
      </x:c>
      <x:c r="L11" s="3" t="str">
        <x:v>Confirmed</x:v>
      </x:c>
    </x:row>
    <x:row r="12">
      <x:c r="A12" s="3" t="str">
        <x:v>Protein</x:v>
      </x:c>
      <x:c r="B12" s="3" t="str">
        <x:v>Chicken</x:v>
      </x:c>
      <x:c r="C12" s="3" t="str">
        <x:v>Raw with skin and bone</x:v>
      </x:c>
      <x:c r="D12" s="3" t="str">
        <x:v>1kg</x:v>
      </x:c>
      <x:c r="E12" s="3" t="n">
        <x:v>1</x:v>
      </x:c>
      <x:c r="F12" s="3" t="str">
        <x:v>kg</x:v>
      </x:c>
      <x:c r="G12" s="8" t="n">
        <x:v>1040</x:v>
      </x:c>
      <x:c r="H12" s="9" t="n">
        <x:f>IF(OR(E12="",G12=""),"",G12/E12)</x:f>
        <x:v>1040</x:v>
      </x:c>
      <x:c r="I12" s="3" t="str">
        <x:v>Local chicken supplier</x:v>
      </x:c>
      <x:c r="J12" s="3" t="str">
        <x:v>-</x:v>
      </x:c>
      <x:c r="K12" s="3" t="str">
        <x:v>Working chicken rate. January purchases varied by day.</x:v>
      </x:c>
      <x:c r="L12" s="3" t="str">
        <x:v>Confirmed</x:v>
      </x:c>
    </x:row>
    <x:row r="13">
      <x:c r="A13" s="3" t="str">
        <x:v>Seafood</x:v>
      </x:c>
      <x:c r="B13" s="3" t="str">
        <x:v>Prawns</x:v>
      </x:c>
      <x:c r="C13" s="3" t="str">
        <x:v>~35 pcs per kg</x:v>
      </x:c>
      <x:c r="D13" s="3" t="str">
        <x:v>1kg</x:v>
      </x:c>
      <x:c r="E13" s="3" t="n">
        <x:v>1</x:v>
      </x:c>
      <x:c r="F13" s="3" t="str">
        <x:v>kg</x:v>
      </x:c>
      <x:c r="G13" s="8" t="n">
        <x:v>3200</x:v>
      </x:c>
      <x:c r="H13" s="9" t="n">
        <x:f>IF(OR(E13="",G13=""),"",G13/E13)</x:f>
        <x:v>3200</x:v>
      </x:c>
      <x:c r="I13" s="3" t="str">
        <x:v>Pambala village</x:v>
      </x:c>
      <x:c r="J13" s="3" t="str">
        <x:v>-</x:v>
      </x:c>
      <x:c r="K13" s="3" t="str">
        <x:v>Price varies daily; 3,200 used as working price.</x:v>
      </x:c>
      <x:c r="L13" s="3" t="str">
        <x:v>Confirmed</x:v>
      </x:c>
    </x:row>
    <x:row r="14">
      <x:c r="A14" s="3" t="str">
        <x:v>Seafood</x:v>
      </x:c>
      <x:c r="B14" s="3" t="str">
        <x:v>Tuna</x:v>
      </x:c>
      <x:c r="C14" s="3" t="str">
        <x:v>Tonno can</x:v>
      </x:c>
      <x:c r="D14" s="3" t="str">
        <x:v>80g can</x:v>
      </x:c>
      <x:c r="E14" s="3" t="n">
        <x:v>80</x:v>
      </x:c>
      <x:c r="F14" s="3" t="str">
        <x:v>g</x:v>
      </x:c>
      <x:c r="G14" s="8" t="n">
        <x:v>500</x:v>
      </x:c>
      <x:c r="H14" s="9" t="n">
        <x:f>IF(OR(E14="",G14=""),"",G14/E14)</x:f>
        <x:v>6.25</x:v>
      </x:c>
      <x:c r="I14" s="3" t="str">
        <x:v>Mallika Italy shop</x:v>
      </x:c>
      <x:c r="J14" s="3" t="str">
        <x:v>-</x:v>
      </x:c>
      <x:c r="K14" s="3" t="str">
        <x:v>Used for Tonno / seafood items.</x:v>
      </x:c>
      <x:c r="L14" s="3" t="str">
        <x:v>Confirmed</x:v>
      </x:c>
    </x:row>
    <x:row r="15">
      <x:c r="A15" s="3" t="str">
        <x:v>Protein</x:v>
      </x:c>
      <x:c r="B15" s="3" t="str">
        <x:v>Bacon Ends</x:v>
      </x:c>
      <x:c r="C15" s="3" t="str">
        <x:v>Elephant House</x:v>
      </x:c>
      <x:c r="D15" s="3" t="str">
        <x:v>500g pack</x:v>
      </x:c>
      <x:c r="E15" s="3" t="n">
        <x:v>500</x:v>
      </x:c>
      <x:c r="F15" s="3" t="str">
        <x:v>g</x:v>
      </x:c>
      <x:c r="G15" s="8" t="n">
        <x:v>2300</x:v>
      </x:c>
      <x:c r="H15" s="9" t="n">
        <x:f>IF(OR(E15="",G15=""),"",G15/E15)</x:f>
        <x:v>4.6</x:v>
      </x:c>
      <x:c r="I15" s="3" t="str">
        <x:v>Keells Marawila</x:v>
      </x:c>
      <x:c r="J15" s="3" t="str">
        <x:v>-</x:v>
      </x:c>
      <x:c r="K15" s="3" t="str">
        <x:v>Used for bacon pizzas / burgers.</x:v>
      </x:c>
      <x:c r="L15" s="3" t="str">
        <x:v>Confirmed</x:v>
      </x:c>
    </x:row>
    <x:row r="16">
      <x:c r="A16" s="3" t="str">
        <x:v>Sausage</x:v>
      </x:c>
      <x:c r="B16" s="3" t="str">
        <x:v>Mini Sausages</x:v>
      </x:c>
      <x:c r="C16" s="3" t="str">
        <x:v>Maxies Cheese &amp; Onion</x:v>
      </x:c>
      <x:c r="D16" s="3" t="str">
        <x:v>1kg pack</x:v>
      </x:c>
      <x:c r="E16" s="3" t="n">
        <x:v>1</x:v>
      </x:c>
      <x:c r="F16" s="3" t="str">
        <x:v>kg</x:v>
      </x:c>
      <x:c r="G16" s="8" t="n">
        <x:v>1510</x:v>
      </x:c>
      <x:c r="H16" s="9" t="n">
        <x:f>IF(OR(E16="",G16=""),"",G16/E16)</x:f>
        <x:v>1510</x:v>
      </x:c>
      <x:c r="I16" s="3" t="str">
        <x:v>Maxies</x:v>
      </x:c>
      <x:c r="J16" s="3" t="str">
        <x:v>-</x:v>
      </x:c>
      <x:c r="K16" s="3" t="str">
        <x:v>Approx 57–58 pcs per kg.</x:v>
      </x:c>
      <x:c r="L16" s="3" t="str">
        <x:v>Confirmed</x:v>
      </x:c>
    </x:row>
    <x:row r="17">
      <x:c r="A17" s="3" t="str">
        <x:v>Sausage</x:v>
      </x:c>
      <x:c r="B17" s="3" t="str">
        <x:v>Jumbo Sausage</x:v>
      </x:c>
      <x:c r="C17" s="3" t="str">
        <x:v>Pussallawa</x:v>
      </x:c>
      <x:c r="D17" s="3" t="str">
        <x:v>1kg pack</x:v>
      </x:c>
      <x:c r="E17" s="3" t="n">
        <x:v>1</x:v>
      </x:c>
      <x:c r="F17" s="3" t="str">
        <x:v>kg</x:v>
      </x:c>
      <x:c r="G17" s="8" t="n">
        <x:v>1300</x:v>
      </x:c>
      <x:c r="H17" s="9" t="n">
        <x:f>IF(OR(E17="",G17=""),"",G17/E17)</x:f>
        <x:v>1300</x:v>
      </x:c>
      <x:c r="I17" s="3" t="str">
        <x:v>Ajantha / RC Super</x:v>
      </x:c>
      <x:c r="J17" s="3" t="str">
        <x:v>Also seen at 1,350</x:v>
      </x:c>
      <x:c r="K17" s="3" t="str">
        <x:v>Working price uses 1,300; known range 1,300–1,350.</x:v>
      </x:c>
      <x:c r="L17" s="3" t="str">
        <x:v>Confirmed</x:v>
      </x:c>
    </x:row>
    <x:row r="18">
      <x:c r="A18" s="3" t="str">
        <x:v>Sausage</x:v>
      </x:c>
      <x:c r="B18" s="3" t="str">
        <x:v>Jumbo Sausage</x:v>
      </x:c>
      <x:c r="C18" s="3" t="str">
        <x:v>Keells Cheese &amp; Onion</x:v>
      </x:c>
      <x:c r="D18" s="3" t="str">
        <x:v>14 pcs pack</x:v>
      </x:c>
      <x:c r="E18" s="3" t="n">
        <x:v>14</x:v>
      </x:c>
      <x:c r="F18" s="3" t="str">
        <x:v>pcs</x:v>
      </x:c>
      <x:c r="G18" s="8" t="n">
        <x:v>2156</x:v>
      </x:c>
      <x:c r="H18" s="9" t="n">
        <x:f>IF(OR(E18="",G18=""),"",G18/E18)</x:f>
        <x:v>154</x:v>
      </x:c>
      <x:c r="I18" s="3" t="str">
        <x:v>Keells Marawila</x:v>
      </x:c>
      <x:c r="J18" s="3" t="str">
        <x:v>-</x:v>
      </x:c>
      <x:c r="K18" s="3" t="str">
        <x:v>Used for BBQ sausage pizza.</x:v>
      </x:c>
      <x:c r="L18" s="3" t="str">
        <x:v>Confirmed</x:v>
      </x:c>
    </x:row>
    <x:row r="19">
      <x:c r="A19" s="3" t="str">
        <x:v>Patty</x:v>
      </x:c>
      <x:c r="B19" s="3" t="str">
        <x:v>Chicken Patty</x:v>
      </x:c>
      <x:c r="C19" s="3" t="str">
        <x:v>Maxies</x:v>
      </x:c>
      <x:c r="D19" s="3" t="str">
        <x:v>30 pcs pack</x:v>
      </x:c>
      <x:c r="E19" s="3" t="n">
        <x:v>30</x:v>
      </x:c>
      <x:c r="F19" s="3" t="str">
        <x:v>pcs</x:v>
      </x:c>
      <x:c r="G19" s="8" t="n">
        <x:v>1950</x:v>
      </x:c>
      <x:c r="H19" s="9" t="n">
        <x:f>IF(OR(E19="",G19=""),"",G19/E19)</x:f>
        <x:v>65</x:v>
      </x:c>
      <x:c r="I19" s="3" t="str">
        <x:v>Maxies</x:v>
      </x:c>
      <x:c r="J19" s="3" t="str">
        <x:v>-</x:v>
      </x:c>
      <x:c r="K19" s="3" t="str">
        <x:v>50g patties.</x:v>
      </x:c>
      <x:c r="L19" s="3" t="str">
        <x:v>Confirmed</x:v>
      </x:c>
    </x:row>
    <x:row r="20">
      <x:c r="A20" s="3" t="str">
        <x:v>Patty</x:v>
      </x:c>
      <x:c r="B20" s="3" t="str">
        <x:v>Fish Cake</x:v>
      </x:c>
      <x:c r="C20" s="3" t="str">
        <x:v>Keells</x:v>
      </x:c>
      <x:c r="D20" s="3" t="str">
        <x:v>24 pcs / 1.2kg pack</x:v>
      </x:c>
      <x:c r="E20" s="3" t="n">
        <x:v>24</x:v>
      </x:c>
      <x:c r="F20" s="3" t="str">
        <x:v>pcs</x:v>
      </x:c>
      <x:c r="G20" s="8" t="n">
        <x:v>2065</x:v>
      </x:c>
      <x:c r="H20" s="9" t="n">
        <x:f>IF(OR(E20="",G20=""),"",G20/E20)</x:f>
        <x:v>86.04166666666667</x:v>
      </x:c>
      <x:c r="I20" s="3" t="str">
        <x:v>Keells</x:v>
      </x:c>
      <x:c r="J20" s="3" t="str">
        <x:v>-</x:v>
      </x:c>
      <x:c r="K20" s="3" t="str">
        <x:v>Used for fish burger.</x:v>
      </x:c>
      <x:c r="L20" s="3" t="str">
        <x:v>Confirmed</x:v>
      </x:c>
    </x:row>
    <x:row r="21">
      <x:c r="A21" s="3" t="str">
        <x:v>Eggs</x:v>
      </x:c>
      <x:c r="B21" s="3" t="str">
        <x:v>Eggs</x:v>
      </x:c>
      <x:c r="C21" s="3" t="str">
        <x:v>Chicken eggs</x:v>
      </x:c>
      <x:c r="D21" s="3" t="str">
        <x:v>10 eggs working pack</x:v>
      </x:c>
      <x:c r="E21" s="3" t="n">
        <x:v>10</x:v>
      </x:c>
      <x:c r="F21" s="3" t="str">
        <x:v>pcs</x:v>
      </x:c>
      <x:c r="G21" s="8" t="n">
        <x:v>360</x:v>
      </x:c>
      <x:c r="H21" s="9" t="n">
        <x:f>IF(OR(E21="",G21=""),"",G21/E21)</x:f>
        <x:v>36</x:v>
      </x:c>
      <x:c r="I21" s="3" t="str">
        <x:v>Local shops</x:v>
      </x:c>
      <x:c r="J21" s="3" t="str">
        <x:v>Actual purchases seen 320–400 per 10</x:v>
      </x:c>
      <x:c r="K21" s="3" t="str">
        <x:v>Working cost often treated as 36 per egg.</x:v>
      </x:c>
      <x:c r="L21" s="3" t="str">
        <x:v>Working</x:v>
      </x:c>
    </x:row>
    <x:row r="22">
      <x:c r="A22" s="3" t="str">
        <x:v>Dairy</x:v>
      </x:c>
      <x:c r="B22" s="3" t="str">
        <x:v>Butter</x:v>
      </x:c>
      <x:c r="C22" s="3" t="str">
        <x:v>Ciao</x:v>
      </x:c>
      <x:c r="D22" s="3" t="str">
        <x:v>500g pack</x:v>
      </x:c>
      <x:c r="E22" s="3" t="n">
        <x:v>500</x:v>
      </x:c>
      <x:c r="F22" s="3" t="str">
        <x:v>g</x:v>
      </x:c>
      <x:c r="G22" s="8" t="n">
        <x:v>1550</x:v>
      </x:c>
      <x:c r="H22" s="9" t="n">
        <x:f>IF(OR(E22="",G22=""),"",G22/E22)</x:f>
        <x:v>3.1</x:v>
      </x:c>
      <x:c r="I22" s="3" t="str">
        <x:v>Ciao</x:v>
      </x:c>
      <x:c r="J22" s="3" t="str">
        <x:v>Emergency butter &gt;1,000 per 200g</x:v>
      </x:c>
      <x:c r="K22" s="3" t="str">
        <x:v>Main butter used in burgers / pasta.</x:v>
      </x:c>
      <x:c r="L22" s="3" t="str">
        <x:v>Confirmed</x:v>
      </x:c>
    </x:row>
    <x:row r="23">
      <x:c r="A23" s="3" t="str">
        <x:v>Oil</x:v>
      </x:c>
      <x:c r="B23" s="3" t="str">
        <x:v>Sunflower Oil</x:v>
      </x:c>
      <x:c r="C23" s="3" t="str">
        <x:v>Cooking oil</x:v>
      </x:c>
      <x:c r="D23" s="3" t="str">
        <x:v>3kg pack</x:v>
      </x:c>
      <x:c r="E23" s="3" t="n">
        <x:v>3</x:v>
      </x:c>
      <x:c r="F23" s="3" t="str">
        <x:v>kg</x:v>
      </x:c>
      <x:c r="G23" s="8" t="n">
        <x:v>1520</x:v>
      </x:c>
      <x:c r="H23" s="9" t="n">
        <x:f>IF(OR(E23="",G23=""),"",G23/E23)</x:f>
        <x:v>506.6666666666667</x:v>
      </x:c>
      <x:c r="I23" s="3" t="str">
        <x:v>SMM</x:v>
      </x:c>
      <x:c r="J23" s="3" t="str">
        <x:v>Alt odd entry 580g = 1,160</x:v>
      </x:c>
      <x:c r="K23" s="3" t="str">
        <x:v>Use 3kg pack as working base.</x:v>
      </x:c>
      <x:c r="L23" s="3" t="str">
        <x:v>Confirmed</x:v>
      </x:c>
    </x:row>
    <x:row r="24">
      <x:c r="A24" s="3" t="str">
        <x:v>Oil</x:v>
      </x:c>
      <x:c r="B24" s="3" t="str">
        <x:v>Palm Oil</x:v>
      </x:c>
      <x:c r="C24" s="3" t="str">
        <x:v>Cooking oil</x:v>
      </x:c>
      <x:c r="D24" s="3" t="str">
        <x:v>3.78L pack</x:v>
      </x:c>
      <x:c r="E24" s="3" t="n">
        <x:v>3.78</x:v>
      </x:c>
      <x:c r="F24" s="3" t="str">
        <x:v>L</x:v>
      </x:c>
      <x:c r="G24" s="8" t="n">
        <x:v>3300</x:v>
      </x:c>
      <x:c r="H24" s="9" t="n">
        <x:f>IF(OR(E24="",G24=""),"",G24/E24)</x:f>
        <x:v>873.015873015873</x:v>
      </x:c>
      <x:c r="I24" s="3" t="str">
        <x:v>Ajantha</x:v>
      </x:c>
      <x:c r="J24" s="3" t="str">
        <x:v>Alt Jan entry 3.670kg = 3,370</x:v>
      </x:c>
      <x:c r="K24" s="3" t="str">
        <x:v>Used in frying.</x:v>
      </x:c>
      <x:c r="L24" s="3" t="str">
        <x:v>Confirmed</x:v>
      </x:c>
    </x:row>
    <x:row r="25">
      <x:c r="A25" s="3" t="str">
        <x:v>Vegetable</x:v>
      </x:c>
      <x:c r="B25" s="3" t="str">
        <x:v>Onion</x:v>
      </x:c>
      <x:c r="C25" s="3" t="str">
        <x:v>Fresh onion</x:v>
      </x:c>
      <x:c r="D25" s="3" t="str">
        <x:v>Example working qty</x:v>
      </x:c>
      <x:c r="E25" s="3" t="n">
        <x:v>1</x:v>
      </x:c>
      <x:c r="F25" s="3" t="str">
        <x:v>kg</x:v>
      </x:c>
      <x:c r="G25" s="8" t="n">
        <x:v>249.2753623188406</x:v>
      </x:c>
      <x:c r="H25" s="9" t="n">
        <x:f>IF(OR(E25="",G25=""),"",G25/E25)</x:f>
        <x:v>249.2753623188406</x:v>
      </x:c>
      <x:c r="I25" s="3" t="str">
        <x:v>Nimmi veg shop</x:v>
      </x:c>
      <x:c r="J25" s="3" t="str">
        <x:v>Multiple Jan prices</x:v>
      </x:c>
      <x:c r="K25" s="3" t="str">
        <x:v>Price varies; working cost here based on 1.035kg = 258.</x:v>
      </x:c>
      <x:c r="L25" s="3" t="str">
        <x:v>Working</x:v>
      </x:c>
    </x:row>
    <x:row r="26">
      <x:c r="A26" s="3" t="str">
        <x:v>Vegetable</x:v>
      </x:c>
      <x:c r="B26" s="3" t="str">
        <x:v>Tomato</x:v>
      </x:c>
      <x:c r="C26" s="3" t="str">
        <x:v>Fresh tomato</x:v>
      </x:c>
      <x:c r="D26" s="3" t="str">
        <x:v>Example working qty</x:v>
      </x:c>
      <x:c r="E26" s="3" t="n">
        <x:v>1</x:v>
      </x:c>
      <x:c r="F26" s="3" t="str">
        <x:v>kg</x:v>
      </x:c>
      <x:c r="G26" s="8" t="n">
        <x:v>600</x:v>
      </x:c>
      <x:c r="H26" s="9" t="n">
        <x:f>IF(OR(E26="",G26=""),"",G26/E26)</x:f>
        <x:v>600</x:v>
      </x:c>
      <x:c r="I26" s="3" t="str">
        <x:v>Nimmi veg shop</x:v>
      </x:c>
      <x:c r="J26" s="3" t="str">
        <x:v>Multiple Jan prices</x:v>
      </x:c>
      <x:c r="K26" s="3" t="str">
        <x:v>Price varies; working cost here based on 570g = 342.</x:v>
      </x:c>
      <x:c r="L26" s="3" t="str">
        <x:v>Working</x:v>
      </x:c>
    </x:row>
    <x:row r="27">
      <x:c r="A27" s="3" t="str">
        <x:v>Vegetable</x:v>
      </x:c>
      <x:c r="B27" s="3" t="str">
        <x:v>Lettuce</x:v>
      </x:c>
      <x:c r="C27" s="3" t="str">
        <x:v>Fresh lettuce</x:v>
      </x:c>
      <x:c r="D27" s="3" t="str">
        <x:v>Example working qty</x:v>
      </x:c>
      <x:c r="E27" s="3" t="n">
        <x:v>1</x:v>
      </x:c>
      <x:c r="F27" s="3" t="str">
        <x:v>kg</x:v>
      </x:c>
      <x:c r="G27" s="8" t="n">
        <x:v>700</x:v>
      </x:c>
      <x:c r="H27" s="9" t="n">
        <x:f>IF(OR(E27="",G27=""),"",G27/E27)</x:f>
        <x:v>700</x:v>
      </x:c>
      <x:c r="I27" s="3" t="str">
        <x:v>Nimmi veg shop</x:v>
      </x:c>
      <x:c r="J27" s="3" t="str">
        <x:v>Multiple Jan prices</x:v>
      </x:c>
      <x:c r="K27" s="3" t="str">
        <x:v>Price varies; working cost here based on 600g = 420.</x:v>
      </x:c>
      <x:c r="L27" s="3" t="str">
        <x:v>Working</x:v>
      </x:c>
    </x:row>
    <x:row r="28">
      <x:c r="A28" s="3" t="str">
        <x:v>Vegetable</x:v>
      </x:c>
      <x:c r="B28" s="3" t="str">
        <x:v>Bell Pepper</x:v>
      </x:c>
      <x:c r="C28" s="3" t="str">
        <x:v>Fresh bell pepper</x:v>
      </x:c>
      <x:c r="D28" s="3" t="str">
        <x:v>Example working qty</x:v>
      </x:c>
      <x:c r="E28" s="3" t="n">
        <x:v>1</x:v>
      </x:c>
      <x:c r="F28" s="3" t="str">
        <x:v>kg</x:v>
      </x:c>
      <x:c r="G28" s="8" t="n">
        <x:v>1378.698224852071</x:v>
      </x:c>
      <x:c r="H28" s="9" t="n">
        <x:f>IF(OR(E28="",G28=""),"",G28/E28)</x:f>
        <x:v>1378.698224852071</x:v>
      </x:c>
      <x:c r="I28" s="3" t="str">
        <x:v>Nimmi veg shop</x:v>
      </x:c>
      <x:c r="J28" s="3" t="str">
        <x:v>Multiple Jan prices</x:v>
      </x:c>
      <x:c r="K28" s="3" t="str">
        <x:v>Price varies; working cost here based on 338g = 466.</x:v>
      </x:c>
      <x:c r="L28" s="3" t="str">
        <x:v>Working</x:v>
      </x:c>
    </x:row>
    <x:row r="29">
      <x:c r="A29" s="3" t="str">
        <x:v>Vegetable</x:v>
      </x:c>
      <x:c r="B29" s="3" t="str">
        <x:v>Mushrooms</x:v>
      </x:c>
      <x:c r="C29" s="3" t="str">
        <x:v>Oyster mushroom</x:v>
      </x:c>
      <x:c r="D29" s="3" t="str">
        <x:v>200g pack</x:v>
      </x:c>
      <x:c r="E29" s="3" t="n">
        <x:v>200</x:v>
      </x:c>
      <x:c r="F29" s="3" t="str">
        <x:v>g</x:v>
      </x:c>
      <x:c r="G29" s="8" t="n">
        <x:v>150</x:v>
      </x:c>
      <x:c r="H29" s="9" t="n">
        <x:f>IF(OR(E29="",G29=""),"",G29/E29)</x:f>
        <x:v>0.75</x:v>
      </x:c>
      <x:c r="I29" s="3" t="str">
        <x:v>Local veg shop</x:v>
      </x:c>
      <x:c r="J29" s="3" t="str">
        <x:v>Global Green 200g at 595 from Keells</x:v>
      </x:c>
      <x:c r="K29" s="3" t="str">
        <x:v>Current lower-cost local mushroom price.</x:v>
      </x:c>
      <x:c r="L29" s="3" t="str">
        <x:v>Confirmed</x:v>
      </x:c>
    </x:row>
    <x:row r="30">
      <x:c r="A30" s="3" t="str">
        <x:v>Vegetable</x:v>
      </x:c>
      <x:c r="B30" s="3" t="str">
        <x:v>Corn Cob</x:v>
      </x:c>
      <x:c r="C30" s="3" t="str">
        <x:v>Fresh corn</x:v>
      </x:c>
      <x:c r="D30" s="3" t="str">
        <x:v>1 cob</x:v>
      </x:c>
      <x:c r="E30" s="3" t="n">
        <x:v>1</x:v>
      </x:c>
      <x:c r="F30" s="3" t="str">
        <x:v>pc</x:v>
      </x:c>
      <x:c r="G30" s="8" t="n">
        <x:v>100</x:v>
      </x:c>
      <x:c r="H30" s="9" t="n">
        <x:f>IF(OR(E30="",G30=""),"",G30/E30)</x:f>
        <x:v>100</x:v>
      </x:c>
      <x:c r="I30" s="3" t="str">
        <x:v>Local veg source</x:v>
      </x:c>
      <x:c r="J30" s="3" t="str">
        <x:v>-</x:v>
      </x:c>
      <x:c r="K30" s="3" t="str">
        <x:v>Veg pizza uses cobs per pizza count, not grams.</x:v>
      </x:c>
      <x:c r="L30" s="3" t="str">
        <x:v>Confirmed</x:v>
      </x:c>
    </x:row>
    <x:row r="31">
      <x:c r="A31" s="3" t="str">
        <x:v>Sauce</x:v>
      </x:c>
      <x:c r="B31" s="3" t="str">
        <x:v>Ketchup / Tomato Sauce</x:v>
      </x:c>
      <x:c r="C31" s="3" t="str">
        <x:v>Kist 4L</x:v>
      </x:c>
      <x:c r="D31" s="3" t="str">
        <x:v>4L pack</x:v>
      </x:c>
      <x:c r="E31" s="3" t="n">
        <x:v>4</x:v>
      </x:c>
      <x:c r="F31" s="3" t="str">
        <x:v>L</x:v>
      </x:c>
      <x:c r="G31" s="8" t="n">
        <x:v>1750</x:v>
      </x:c>
      <x:c r="H31" s="9" t="n">
        <x:f>IF(OR(E31="",G31=""),"",G31/E31)</x:f>
        <x:v>437.5</x:v>
      </x:c>
      <x:c r="I31" s="3" t="str">
        <x:v>Ajantha</x:v>
      </x:c>
      <x:c r="J31" s="3" t="str">
        <x:v>Seen up to 1,800</x:v>
      </x:c>
      <x:c r="K31" s="3" t="str">
        <x:v>Used in burgers / pizza devilled / sauces.</x:v>
      </x:c>
      <x:c r="L31" s="3" t="str">
        <x:v>Confirmed</x:v>
      </x:c>
    </x:row>
    <x:row r="32">
      <x:c r="A32" s="3" t="str">
        <x:v>Sauce</x:v>
      </x:c>
      <x:c r="B32" s="3" t="str">
        <x:v>BBQ Sauce</x:v>
      </x:c>
      <x:c r="C32" s="3" t="str">
        <x:v>Ma's Kitchen</x:v>
      </x:c>
      <x:c r="D32" s="3" t="str">
        <x:v>260ml bottle</x:v>
      </x:c>
      <x:c r="E32" s="3" t="n">
        <x:v>260</x:v>
      </x:c>
      <x:c r="F32" s="3" t="str">
        <x:v>ml</x:v>
      </x:c>
      <x:c r="G32" s="8" t="n">
        <x:v>620</x:v>
      </x:c>
      <x:c r="H32" s="9" t="n">
        <x:f>IF(OR(E32="",G32=""),"",G32/E32)</x:f>
        <x:v>2.3846153846153846</x:v>
      </x:c>
      <x:c r="I32" s="3" t="str">
        <x:v>Best Buy</x:v>
      </x:c>
      <x:c r="J32" s="3" t="str">
        <x:v>MRP 670</x:v>
      </x:c>
      <x:c r="K32" s="3" t="str">
        <x:v>Discounted Best Buy price used.</x:v>
      </x:c>
      <x:c r="L32" s="3" t="str">
        <x:v>Confirmed</x:v>
      </x:c>
    </x:row>
    <x:row r="33">
      <x:c r="A33" s="3" t="str">
        <x:v>Sauce</x:v>
      </x:c>
      <x:c r="B33" s="3" t="str">
        <x:v>Mayonnaise</x:v>
      </x:c>
      <x:c r="C33" s="3" t="str">
        <x:v>Bulk mayo</x:v>
      </x:c>
      <x:c r="D33" s="3" t="str">
        <x:v>3.78L pack</x:v>
      </x:c>
      <x:c r="E33" s="3" t="n">
        <x:v>3.78</x:v>
      </x:c>
      <x:c r="F33" s="3" t="str">
        <x:v>L</x:v>
      </x:c>
      <x:c r="G33" s="8" t="n">
        <x:v>3300</x:v>
      </x:c>
      <x:c r="H33" s="9" t="n">
        <x:f>IF(OR(E33="",G33=""),"",G33/E33)</x:f>
        <x:v>873.015873015873</x:v>
      </x:c>
      <x:c r="I33" s="3" t="str">
        <x:v>Ajantha</x:v>
      </x:c>
      <x:c r="J33" s="3" t="str">
        <x:v>-</x:v>
      </x:c>
      <x:c r="K33" s="3" t="str">
        <x:v>Used in burgers / hotdogs.</x:v>
      </x:c>
      <x:c r="L33" s="3" t="str">
        <x:v>Confirmed</x:v>
      </x:c>
    </x:row>
    <x:row r="34">
      <x:c r="A34" s="3" t="str">
        <x:v>Seasoning</x:v>
      </x:c>
      <x:c r="B34" s="3" t="str">
        <x:v>Pepper Powder</x:v>
      </x:c>
      <x:c r="C34" s="3" t="str">
        <x:v>Powder spice</x:v>
      </x:c>
      <x:c r="D34" s="3" t="str">
        <x:v>100g pack</x:v>
      </x:c>
      <x:c r="E34" s="3" t="n">
        <x:v>100</x:v>
      </x:c>
      <x:c r="F34" s="3" t="str">
        <x:v>g</x:v>
      </x:c>
      <x:c r="G34" s="8" t="n">
        <x:v>500</x:v>
      </x:c>
      <x:c r="H34" s="9" t="n">
        <x:f>IF(OR(E34="",G34=""),"",G34/E34)</x:f>
        <x:v>5</x:v>
      </x:c>
      <x:c r="I34" s="3" t="str">
        <x:v>Ajantha / Best Buy</x:v>
      </x:c>
      <x:c r="J34" s="3" t="str">
        <x:v>50g seen at 250</x:v>
      </x:c>
      <x:c r="K34" s="3" t="str">
        <x:v>Working price uses 100g pack.</x:v>
      </x:c>
      <x:c r="L34" s="3" t="str">
        <x:v>Confirmed</x:v>
      </x:c>
    </x:row>
    <x:row r="35">
      <x:c r="A35" s="3" t="str">
        <x:v>Seasoning</x:v>
      </x:c>
      <x:c r="B35" s="3" t="str">
        <x:v>Chilli Powder</x:v>
      </x:c>
      <x:c r="C35" s="3" t="str">
        <x:v>Powder spice</x:v>
      </x:c>
      <x:c r="D35" s="3" t="str">
        <x:v>100g pack</x:v>
      </x:c>
      <x:c r="E35" s="3" t="n">
        <x:v>100</x:v>
      </x:c>
      <x:c r="F35" s="3" t="str">
        <x:v>g</x:v>
      </x:c>
      <x:c r="G35" s="8" t="n">
        <x:v>170</x:v>
      </x:c>
      <x:c r="H35" s="9" t="n">
        <x:f>IF(OR(E35="",G35=""),"",G35/E35)</x:f>
        <x:v>1.7</x:v>
      </x:c>
      <x:c r="I35" s="3" t="str">
        <x:v>Ajantha</x:v>
      </x:c>
      <x:c r="J35" s="3" t="str">
        <x:v>-</x:v>
      </x:c>
      <x:c r="K35" s="3" t="str">
        <x:v>Used in kitchen / recipes.</x:v>
      </x:c>
      <x:c r="L35" s="3" t="str">
        <x:v>Confirmed</x:v>
      </x:c>
    </x:row>
    <x:row r="36">
      <x:c r="A36" s="3" t="str">
        <x:v>Seasoning</x:v>
      </x:c>
      <x:c r="B36" s="3" t="str">
        <x:v>Chilli Flakes</x:v>
      </x:c>
      <x:c r="C36" s="3" t="str">
        <x:v>Flakes</x:v>
      </x:c>
      <x:c r="D36" s="3" t="str">
        <x:v>100g pack</x:v>
      </x:c>
      <x:c r="E36" s="3" t="n">
        <x:v>100</x:v>
      </x:c>
      <x:c r="F36" s="3" t="str">
        <x:v>g</x:v>
      </x:c>
      <x:c r="G36" s="8" t="n">
        <x:v>200</x:v>
      </x:c>
      <x:c r="H36" s="9" t="n">
        <x:f>IF(OR(E36="",G36=""),"",G36/E36)</x:f>
        <x:v>2</x:v>
      </x:c>
      <x:c r="I36" s="3" t="str">
        <x:v>Ajantha</x:v>
      </x:c>
      <x:c r="J36" s="3" t="str">
        <x:v>-</x:v>
      </x:c>
      <x:c r="K36" s="3" t="str">
        <x:v>Used in pizzas / mushrooms.</x:v>
      </x:c>
      <x:c r="L36" s="3" t="str">
        <x:v>Confirmed</x:v>
      </x:c>
    </x:row>
    <x:row r="37">
      <x:c r="A37" s="3" t="str">
        <x:v>Seasoning</x:v>
      </x:c>
      <x:c r="B37" s="3" t="str">
        <x:v>Oregano</x:v>
      </x:c>
      <x:c r="C37" s="3" t="str">
        <x:v>Dried herb</x:v>
      </x:c>
      <x:c r="D37" s="3" t="str">
        <x:v>100g pack</x:v>
      </x:c>
      <x:c r="E37" s="3" t="n">
        <x:v>100</x:v>
      </x:c>
      <x:c r="F37" s="3" t="str">
        <x:v>g</x:v>
      </x:c>
      <x:c r="G37" s="8" t="n">
        <x:v>500</x:v>
      </x:c>
      <x:c r="H37" s="9" t="n">
        <x:f>IF(OR(E37="",G37=""),"",G37/E37)</x:f>
        <x:v>5</x:v>
      </x:c>
      <x:c r="I37" s="3" t="str">
        <x:v>Ajantha / SMM</x:v>
      </x:c>
      <x:c r="J37" s="3" t="str">
        <x:v>-</x:v>
      </x:c>
      <x:c r="K37" s="3" t="str">
        <x:v>Also used as standard pizza topping herb.</x:v>
      </x:c>
      <x:c r="L37" s="3" t="str">
        <x:v>Confirmed</x:v>
      </x:c>
    </x:row>
    <x:row r="38">
      <x:c r="A38" s="3" t="str">
        <x:v>Seasoning</x:v>
      </x:c>
      <x:c r="B38" s="3" t="str">
        <x:v>Garlic Powder</x:v>
      </x:c>
      <x:c r="C38" s="3" t="str">
        <x:v>Powder spice</x:v>
      </x:c>
      <x:c r="D38" s="3" t="str">
        <x:v>50g pack</x:v>
      </x:c>
      <x:c r="E38" s="3" t="n">
        <x:v>50</x:v>
      </x:c>
      <x:c r="F38" s="3" t="str">
        <x:v>g</x:v>
      </x:c>
      <x:c r="G38" s="8" t="n">
        <x:v>250</x:v>
      </x:c>
      <x:c r="H38" s="9" t="n">
        <x:f>IF(OR(E38="",G38=""),"",G38/E38)</x:f>
        <x:v>5</x:v>
      </x:c>
      <x:c r="I38" s="3" t="str">
        <x:v>Ajantha</x:v>
      </x:c>
      <x:c r="J38" s="3" t="str">
        <x:v>-</x:v>
      </x:c>
      <x:c r="K38" s="3" t="str">
        <x:v>Used in pasta / crispy chicken.</x:v>
      </x:c>
      <x:c r="L38" s="3" t="str">
        <x:v>Confirmed</x:v>
      </x:c>
    </x:row>
    <x:row r="39">
      <x:c r="A39" s="3" t="str">
        <x:v>Seasoning</x:v>
      </x:c>
      <x:c r="B39" s="3" t="str">
        <x:v>Ginger Powder</x:v>
      </x:c>
      <x:c r="C39" s="3" t="str">
        <x:v>Powder spice</x:v>
      </x:c>
      <x:c r="D39" s="3" t="str">
        <x:v>50g pack</x:v>
      </x:c>
      <x:c r="E39" s="3" t="n">
        <x:v>50</x:v>
      </x:c>
      <x:c r="F39" s="3" t="str">
        <x:v>g</x:v>
      </x:c>
      <x:c r="G39" s="8" t="n">
        <x:v>520</x:v>
      </x:c>
      <x:c r="H39" s="9" t="n">
        <x:f>IF(OR(E39="",G39=""),"",G39/E39)</x:f>
        <x:v>10.4</x:v>
      </x:c>
      <x:c r="I39" s="3" t="str">
        <x:v>Ajantha</x:v>
      </x:c>
      <x:c r="J39" s="3" t="str">
        <x:v>-</x:v>
      </x:c>
      <x:c r="K39" s="3" t="str">
        <x:v>Used in pasta / crispy chicken.</x:v>
      </x:c>
      <x:c r="L39" s="3" t="str">
        <x:v>Confirmed</x:v>
      </x:c>
    </x:row>
    <x:row r="40">
      <x:c r="A40" s="3" t="str">
        <x:v>Seasoning</x:v>
      </x:c>
      <x:c r="B40" s="3" t="str">
        <x:v>Paprika Powder</x:v>
      </x:c>
      <x:c r="C40" s="3" t="str">
        <x:v>Powder spice</x:v>
      </x:c>
      <x:c r="D40" s="3" t="str">
        <x:v>50g pack</x:v>
      </x:c>
      <x:c r="E40" s="3" t="n">
        <x:v>50</x:v>
      </x:c>
      <x:c r="F40" s="3" t="str">
        <x:v>g</x:v>
      </x:c>
      <x:c r="G40" s="8" t="n">
        <x:v>690</x:v>
      </x:c>
      <x:c r="H40" s="9" t="n">
        <x:f>IF(OR(E40="",G40=""),"",G40/E40)</x:f>
        <x:v>13.8</x:v>
      </x:c>
      <x:c r="I40" s="3" t="str">
        <x:v>Ajantha</x:v>
      </x:c>
      <x:c r="J40" s="3" t="str">
        <x:v>-</x:v>
      </x:c>
      <x:c r="K40" s="3" t="str">
        <x:v>Used in crispy chicken / pasta.</x:v>
      </x:c>
      <x:c r="L40" s="3" t="str">
        <x:v>Confirmed</x:v>
      </x:c>
    </x:row>
    <x:row r="41">
      <x:c r="A41" s="3" t="str">
        <x:v>Dairy</x:v>
      </x:c>
      <x:c r="B41" s="3" t="str">
        <x:v>Fresh Milk</x:v>
      </x:c>
      <x:c r="C41" s="3" t="str">
        <x:v>Liquid milk</x:v>
      </x:c>
      <x:c r="D41" s="3" t="str">
        <x:v>1L pack</x:v>
      </x:c>
      <x:c r="E41" s="3" t="n">
        <x:v>1</x:v>
      </x:c>
      <x:c r="F41" s="3" t="str">
        <x:v>L</x:v>
      </x:c>
      <x:c r="G41" s="8" t="n">
        <x:v>500</x:v>
      </x:c>
      <x:c r="H41" s="9" t="n">
        <x:f>IF(OR(E41="",G41=""),"",G41/E41)</x:f>
        <x:v>500</x:v>
      </x:c>
      <x:c r="I41" s="3" t="str">
        <x:v>Local supplier</x:v>
      </x:c>
      <x:c r="J41" s="3" t="str">
        <x:v>-</x:v>
      </x:c>
      <x:c r="K41" s="3" t="str">
        <x:v>Updated milk price used in milkshake costing.</x:v>
      </x:c>
      <x:c r="L41" s="3" t="str">
        <x:v>Confirmed</x:v>
      </x:c>
    </x:row>
    <x:row r="42">
      <x:c r="A42" s="3" t="str">
        <x:v>Sweet / Shake</x:v>
      </x:c>
      <x:c r="B42" s="3" t="str">
        <x:v>Chocolate</x:v>
      </x:c>
      <x:c r="C42" s="3" t="str">
        <x:v>Solid chocolate</x:v>
      </x:c>
      <x:c r="D42" s="3" t="str">
        <x:v>400g pack</x:v>
      </x:c>
      <x:c r="E42" s="3" t="n">
        <x:v>400</x:v>
      </x:c>
      <x:c r="F42" s="3" t="str">
        <x:v>g</x:v>
      </x:c>
      <x:c r="G42" s="8" t="n">
        <x:v>730</x:v>
      </x:c>
      <x:c r="H42" s="9" t="n">
        <x:f>IF(OR(E42="",G42=""),"",G42/E42)</x:f>
        <x:v>1.825</x:v>
      </x:c>
      <x:c r="I42" s="3" t="str">
        <x:v>Local supplier</x:v>
      </x:c>
      <x:c r="J42" s="3" t="str">
        <x:v>-</x:v>
      </x:c>
      <x:c r="K42" s="3" t="str">
        <x:v>Used in chocolate milkshake cube version.</x:v>
      </x:c>
      <x:c r="L42" s="3" t="str">
        <x:v>Confirmed</x:v>
      </x:c>
    </x:row>
    <x:row r="43">
      <x:c r="A43" s="3" t="str">
        <x:v>Sweet / Shake</x:v>
      </x:c>
      <x:c r="B43" s="3" t="str">
        <x:v>Milo</x:v>
      </x:c>
      <x:c r="C43" s="3" t="str">
        <x:v>Malted drink powder</x:v>
      </x:c>
      <x:c r="D43" s="3" t="str">
        <x:v>400g pack</x:v>
      </x:c>
      <x:c r="E43" s="3" t="n">
        <x:v>400</x:v>
      </x:c>
      <x:c r="F43" s="3" t="str">
        <x:v>g</x:v>
      </x:c>
      <x:c r="G43" s="8" t="n">
        <x:v>860</x:v>
      </x:c>
      <x:c r="H43" s="9" t="n">
        <x:f>IF(OR(E43="",G43=""),"",G43/E43)</x:f>
        <x:v>2.15</x:v>
      </x:c>
      <x:c r="I43" s="3" t="str">
        <x:v>Local supplier</x:v>
      </x:c>
      <x:c r="J43" s="3" t="str">
        <x:v>-</x:v>
      </x:c>
      <x:c r="K43" s="3" t="str">
        <x:v>Used in Milo milkshake version.</x:v>
      </x:c>
      <x:c r="L43" s="3" t="str">
        <x:v>Confirmed</x:v>
      </x:c>
    </x:row>
    <x:row r="44">
      <x:c r="A44" s="3" t="str">
        <x:v>Ice Cream</x:v>
      </x:c>
      <x:c r="B44" s="3" t="str">
        <x:v>Chocolate Ice Cream</x:v>
      </x:c>
      <x:c r="C44" s="3" t="str">
        <x:v>Kotmale</x:v>
      </x:c>
      <x:c r="D44" s="3" t="str">
        <x:v>1L tub</x:v>
      </x:c>
      <x:c r="E44" s="3" t="n">
        <x:v>1</x:v>
      </x:c>
      <x:c r="F44" s="3" t="str">
        <x:v>L</x:v>
      </x:c>
      <x:c r="G44" s="8" t="n">
        <x:v>600</x:v>
      </x:c>
      <x:c r="H44" s="9" t="n">
        <x:f>IF(OR(E44="",G44=""),"",G44/E44)</x:f>
        <x:v>600</x:v>
      </x:c>
      <x:c r="I44" s="3" t="str">
        <x:v>Kotmale / retail</x:v>
      </x:c>
      <x:c r="J44" s="3" t="str">
        <x:v>-</x:v>
      </x:c>
      <x:c r="K44" s="3" t="str">
        <x:v>Working current MRP used in costing.</x:v>
      </x:c>
      <x:c r="L44" s="3" t="str">
        <x:v>Working</x:v>
      </x:c>
    </x:row>
    <x:row r="45">
      <x:c r="A45" s="3" t="str">
        <x:v>Ice Cream</x:v>
      </x:c>
      <x:c r="B45" s="3" t="str">
        <x:v>Vanilla Ice Cream</x:v>
      </x:c>
      <x:c r="C45" s="3" t="str">
        <x:v>Kotmale</x:v>
      </x:c>
      <x:c r="D45" s="3" t="str">
        <x:v>1L tub</x:v>
      </x:c>
      <x:c r="E45" s="3" t="n">
        <x:v>1</x:v>
      </x:c>
      <x:c r="F45" s="3" t="str">
        <x:v>L</x:v>
      </x:c>
      <x:c r="G45" s="8" t="n">
        <x:v>550</x:v>
      </x:c>
      <x:c r="H45" s="9" t="n">
        <x:f>IF(OR(E45="",G45=""),"",G45/E45)</x:f>
        <x:v>550</x:v>
      </x:c>
      <x:c r="I45" s="3" t="str">
        <x:v>Kotmale / retail</x:v>
      </x:c>
      <x:c r="J45" s="3" t="str">
        <x:v>-</x:v>
      </x:c>
      <x:c r="K45" s="3" t="str">
        <x:v>Working current MRP used in costing.</x:v>
      </x:c>
      <x:c r="L45" s="3" t="str">
        <x:v>Working</x:v>
      </x:c>
    </x:row>
    <x:row r="46">
      <x:c r="A46" s="3" t="str">
        <x:v>Sweet / Shake</x:v>
      </x:c>
      <x:c r="B46" s="3" t="str">
        <x:v>Kist Olo Biscuit</x:v>
      </x:c>
      <x:c r="C46" s="3" t="str">
        <x:v>140g pack / 13 biscuits</x:v>
      </x:c>
      <x:c r="D46" s="3" t="str">
        <x:v>13 biscuits</x:v>
      </x:c>
      <x:c r="E46" s="3" t="n">
        <x:v>13</x:v>
      </x:c>
      <x:c r="F46" s="3" t="str">
        <x:v>pcs</x:v>
      </x:c>
      <x:c r="G46" s="8" t="n">
        <x:v>280</x:v>
      </x:c>
      <x:c r="H46" s="9" t="n">
        <x:f>IF(OR(E46="",G46=""),"",G46/E46)</x:f>
        <x:v>21.53846153846154</x:v>
      </x:c>
      <x:c r="I46" s="3" t="str">
        <x:v>Retail</x:v>
      </x:c>
      <x:c r="J46" s="3" t="str">
        <x:v>-</x:v>
      </x:c>
      <x:c r="K46" s="3" t="str">
        <x:v>Used as topping biscuit; about 21.54 per biscuit.</x:v>
      </x:c>
      <x:c r="L46" s="3" t="str">
        <x:v>Confirmed</x:v>
      </x:c>
    </x:row>
    <x:row r="47">
      <x:c r="A47" s="3" t="str">
        <x:v>Sweet / Shake</x:v>
      </x:c>
      <x:c r="B47" s="3" t="str">
        <x:v>Chocolate Wafer Stick</x:v>
      </x:c>
      <x:c r="C47" s="3" t="str">
        <x:v>96 pcs pack</x:v>
      </x:c>
      <x:c r="D47" s="3" t="str">
        <x:v>96 pcs</x:v>
      </x:c>
      <x:c r="E47" s="3" t="n">
        <x:v>96</x:v>
      </x:c>
      <x:c r="F47" s="3" t="str">
        <x:v>pcs</x:v>
      </x:c>
      <x:c r="G47" s="8" t="n">
        <x:v>888</x:v>
      </x:c>
      <x:c r="H47" s="9" t="n">
        <x:f>IF(OR(E47="",G47=""),"",G47/E47)</x:f>
        <x:v>9.25</x:v>
      </x:c>
      <x:c r="I47" s="3" t="str">
        <x:v>Retail</x:v>
      </x:c>
      <x:c r="J47" s="3" t="str">
        <x:v>-</x:v>
      </x:c>
      <x:c r="K47" s="3" t="str">
        <x:v>Used in milkshake topping.</x:v>
      </x:c>
      <x:c r="L47" s="3" t="str">
        <x:v>Confirmed</x:v>
      </x:c>
    </x:row>
    <x:row r="48">
      <x:c r="A48" s="3" t="str">
        <x:v>Sweet / Shake</x:v>
      </x:c>
      <x:c r="B48" s="3" t="str">
        <x:v>Chocolate Syrup</x:v>
      </x:c>
      <x:c r="C48" s="3" t="str">
        <x:v>270ml bottle</x:v>
      </x:c>
      <x:c r="D48" s="3" t="str">
        <x:v>270ml</x:v>
      </x:c>
      <x:c r="E48" s="3" t="n">
        <x:v>270</x:v>
      </x:c>
      <x:c r="F48" s="3" t="str">
        <x:v>ml</x:v>
      </x:c>
      <x:c r="G48" s="8" t="n">
        <x:v>1045</x:v>
      </x:c>
      <x:c r="H48" s="9" t="n">
        <x:f>IF(OR(E48="",G48=""),"",G48/E48)</x:f>
        <x:v>3.8703703703703702</x:v>
      </x:c>
      <x:c r="I48" s="3" t="str">
        <x:v>Retail</x:v>
      </x:c>
      <x:c r="J48" s="3" t="str">
        <x:v>Another purchase seen at 1,515 (size not locked)</x:v>
      </x:c>
      <x:c r="K48" s="3" t="str">
        <x:v>Used at 10ml per milkshake.</x:v>
      </x:c>
      <x:c r="L48" s="3" t="str">
        <x:v>Confirmed</x:v>
      </x:c>
    </x:row>
    <x:row r="49">
      <x:c r="A49" s="3" t="str">
        <x:v>Cheese</x:v>
      </x:c>
      <x:c r="B49" s="3" t="str">
        <x:v>Parmesan Cheese</x:v>
      </x:c>
      <x:c r="C49" s="3" t="str">
        <x:v>Bulk parmesan</x:v>
      </x:c>
      <x:c r="D49" s="3" t="str">
        <x:v>2kg pack</x:v>
      </x:c>
      <x:c r="E49" s="3" t="n">
        <x:v>2</x:v>
      </x:c>
      <x:c r="F49" s="3" t="str">
        <x:v>kg</x:v>
      </x:c>
      <x:c r="G49" s="8" t="n">
        <x:v>12000</x:v>
      </x:c>
      <x:c r="H49" s="9" t="n">
        <x:f>IF(OR(E49="",G49=""),"",G49/E49)</x:f>
        <x:v>6000</x:v>
      </x:c>
      <x:c r="I49" s="3" t="str">
        <x:v>Supplier not yet mapped</x:v>
      </x:c>
      <x:c r="J49" s="3" t="str">
        <x:v>-</x:v>
      </x:c>
      <x:c r="K49" s="3" t="str">
        <x:v>Used in Alfredo pasta costing.</x:v>
      </x:c>
      <x:c r="L49" s="3" t="str">
        <x:v>Confirmed</x:v>
      </x:c>
    </x:row>
    <x:row r="50">
      <x:c r="A50" s="3" t="str">
        <x:v>Pasta</x:v>
      </x:c>
      <x:c r="B50" s="3" t="str">
        <x:v>Spaghetti</x:v>
      </x:c>
      <x:c r="C50" s="3" t="str">
        <x:v>Dry pasta</x:v>
      </x:c>
      <x:c r="D50" s="3" t="str">
        <x:v>400g pack</x:v>
      </x:c>
      <x:c r="E50" s="3" t="n">
        <x:v>400</x:v>
      </x:c>
      <x:c r="F50" s="3" t="str">
        <x:v>g</x:v>
      </x:c>
      <x:c r="G50" s="27" t="n">
        <x:v>400</x:v>
      </x:c>
      <x:c r="H50" s="27" t="n">
        <x:v>1</x:v>
      </x:c>
      <x:c r="I50" s="3" t="str">
        <x:v>Locked Mar 2026</x:v>
      </x:c>
      <x:c r="J50" s="3" t="str">
        <x:v>-</x:v>
      </x:c>
      <x:c r="K50" s="3" t="str">
        <x:v>Locked pasta price for costing.</x:v>
      </x:c>
      <x:c r="L50" s="3" t="str">
        <x:v>Confirmed</x:v>
      </x:c>
    </x:row>
    <x:row r="51">
      <x:c r="A51" s="3" t="str">
        <x:v>Pasta</x:v>
      </x:c>
      <x:c r="B51" s="3" t="str">
        <x:v>Penne</x:v>
      </x:c>
      <x:c r="C51" s="3" t="str">
        <x:v>Dry pasta</x:v>
      </x:c>
      <x:c r="D51" s="3" t="str">
        <x:v>400g pack</x:v>
      </x:c>
      <x:c r="E51" s="3" t="n">
        <x:v>400</x:v>
      </x:c>
      <x:c r="F51" s="3" t="str">
        <x:v>g</x:v>
      </x:c>
      <x:c r="G51" s="27" t="n">
        <x:v>250</x:v>
      </x:c>
      <x:c r="H51" s="27" t="n">
        <x:v>0.625</x:v>
      </x:c>
      <x:c r="I51" s="3" t="str">
        <x:v>Locked Mar 2026</x:v>
      </x:c>
      <x:c r="J51" s="3" t="str">
        <x:v>-</x:v>
      </x:c>
      <x:c r="K51" s="3" t="str">
        <x:v>Locked pasta price for costing.</x:v>
      </x:c>
      <x:c r="L51" s="3" t="str">
        <x:v>Confirmed</x:v>
      </x:c>
    </x:row>
    <x:row r="52">
      <x:c r="A52" s="3" t="str">
        <x:v>Seasoning</x:v>
      </x:c>
      <x:c r="B52" s="3" t="str">
        <x:v>Thyme</x:v>
      </x:c>
      <x:c r="C52" s="3" t="str">
        <x:v>Dried herb</x:v>
      </x:c>
      <x:c r="D52" s="3" t="str">
        <x:v>10g pack</x:v>
      </x:c>
      <x:c r="E52" s="3" t="n">
        <x:v>10</x:v>
      </x:c>
      <x:c r="F52" s="3" t="str">
        <x:v>g</x:v>
      </x:c>
      <x:c r="G52" s="27" t="n">
        <x:v>80</x:v>
      </x:c>
      <x:c r="H52" s="27" t="n">
        <x:v>8</x:v>
      </x:c>
      <x:c r="I52" s="3" t="str">
        <x:v>Locked Mar 2026</x:v>
      </x:c>
      <x:c r="J52" s="3" t="str">
        <x:v>-</x:v>
      </x:c>
      <x:c r="K52" s="3" t="str">
        <x:v>Updated from user-provided price.</x:v>
      </x:c>
      <x:c r="L52" s="3" t="str">
        <x:v>Confirmed</x:v>
      </x:c>
    </x:row>
    <x:row r="53">
      <x:c r="A53" s="3" t="str">
        <x:v>Seasoning</x:v>
      </x:c>
      <x:c r="B53" s="3" t="str">
        <x:v>Bay Leaf</x:v>
      </x:c>
      <x:c r="C53" s="3" t="str">
        <x:v>Dried herb</x:v>
      </x:c>
      <x:c r="D53" s="3" t="str">
        <x:v>10g pack</x:v>
      </x:c>
      <x:c r="E53" s="3" t="n">
        <x:v>10</x:v>
      </x:c>
      <x:c r="F53" s="3" t="str">
        <x:v>g</x:v>
      </x:c>
      <x:c r="G53" s="27" t="n">
        <x:v>95</x:v>
      </x:c>
      <x:c r="H53" s="27" t="n">
        <x:v>9.5</x:v>
      </x:c>
      <x:c r="I53" s="3" t="str">
        <x:v>Locked Mar 2026</x:v>
      </x:c>
      <x:c r="J53" s="3" t="str">
        <x:v>-</x:v>
      </x:c>
      <x:c r="K53" s="3" t="str">
        <x:v>Updated from user-provided price.</x:v>
      </x:c>
      <x:c r="L53" s="3" t="str">
        <x:v>Confirmed</x:v>
      </x:c>
    </x:row>
    <x:row r="54">
      <x:c r="A54" s="3" t="str">
        <x:v>Seasoning</x:v>
      </x:c>
      <x:c r="B54" s="3" t="str">
        <x:v>Rosemary</x:v>
      </x:c>
      <x:c r="C54" s="3" t="str">
        <x:v>Dried herb</x:v>
      </x:c>
      <x:c r="D54" s="3" t="str">
        <x:v>10g pack</x:v>
      </x:c>
      <x:c r="E54" s="3" t="n">
        <x:v>10</x:v>
      </x:c>
      <x:c r="F54" s="3" t="str">
        <x:v>g</x:v>
      </x:c>
      <x:c r="G54" s="27" t="n">
        <x:v>85</x:v>
      </x:c>
      <x:c r="H54" s="27" t="n">
        <x:v>8.5</x:v>
      </x:c>
      <x:c r="I54" s="3" t="str">
        <x:v>Locked Mar 2026</x:v>
      </x:c>
      <x:c r="J54" s="3" t="str">
        <x:v>-</x:v>
      </x:c>
      <x:c r="K54" s="3" t="str">
        <x:v>Updated from user-provided price.</x:v>
      </x:c>
      <x:c r="L54" s="3" t="str">
        <x:v>Confirmed</x:v>
      </x:c>
    </x:row>
    <x:row r="55">
      <x:c r="A55" s="3" t="str">
        <x:v>Seasoning</x:v>
      </x:c>
      <x:c r="B55" s="3" t="str">
        <x:v>Turmeric</x:v>
      </x:c>
      <x:c r="C55" s="3" t="str">
        <x:v>Powder spice</x:v>
      </x:c>
      <x:c r="D55" s="3" t="str">
        <x:v>50g pack</x:v>
      </x:c>
      <x:c r="E55" s="3" t="n">
        <x:v>50</x:v>
      </x:c>
      <x:c r="F55" s="3" t="str">
        <x:v>g</x:v>
      </x:c>
      <x:c r="G55" s="27" t="n">
        <x:v>480</x:v>
      </x:c>
      <x:c r="H55" s="27" t="n">
        <x:v>9.6</x:v>
      </x:c>
      <x:c r="I55" s="3" t="str">
        <x:v>Locked Mar 2026</x:v>
      </x:c>
      <x:c r="J55" s="3" t="str">
        <x:v>-</x:v>
      </x:c>
      <x:c r="K55" s="3" t="str">
        <x:v>Updated from user-provided price.</x:v>
      </x:c>
      <x:c r="L55" s="3" t="str">
        <x:v>Confirmed</x:v>
      </x:c>
    </x:row>
  </x:sheetData>
  <x:conditionalFormatting sqref="L2:L53">
    <x:cfRule type="expression" dxfId="0" priority="1">
      <x:formula>L2="Missing"</x:formula>
    </x:cfRule>
    <x:cfRule type="expression" dxfId="1" priority="2">
      <x:formula>L2="Working"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0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20" hidden="0" customWidth="1"/>
    <x:col min="10" max="10" width="22" hidden="0" customWidth="1"/>
    <x:col min="11" max="11" width="36" hidden="0" customWidth="1"/>
    <x:col min="12" max="12" width="12" hidden="0" customWidth="1"/>
  </x:cols>
  <x:sheetData>
    <x:row r="1">
      <x:c r="A1" s="16" t="str">
        <x:v>Category</x:v>
      </x:c>
      <x:c r="B1" s="16" t="str">
        <x:v>Item</x:v>
      </x:c>
      <x:c r="C1" s="16" t="str">
        <x:v>Brand / Specification</x:v>
      </x:c>
      <x:c r="D1" s="16" t="str">
        <x:v>Pack Size Text</x:v>
      </x:c>
      <x:c r="E1" s="16" t="str">
        <x:v>Pack Qty</x:v>
      </x:c>
      <x:c r="F1" s="16" t="str">
        <x:v>Pack Unit</x:v>
      </x:c>
      <x:c r="G1" s="16" t="str">
        <x:v>Working Price (LKR)</x:v>
      </x:c>
      <x:c r="H1" s="16" t="str">
        <x:v>Cost per Unit</x:v>
      </x:c>
      <x:c r="I1" s="16" t="str">
        <x:v>Main Supplier</x:v>
      </x:c>
      <x:c r="J1" s="16" t="str">
        <x:v>Backup / Alternate</x:v>
      </x:c>
      <x:c r="K1" s="16" t="str">
        <x:v>Notes</x:v>
      </x:c>
      <x:c r="L1" s="16" t="str">
        <x:v>Status</x:v>
      </x:c>
    </x:row>
    <x:row r="2">
      <x:c r="A2" s="3" t="str">
        <x:v>Packaging</x:v>
      </x:c>
      <x:c r="B2" s="3" t="str">
        <x:v>Burger Bun</x:v>
      </x:c>
      <x:c r="C2" s="3" t="str">
        <x:v>Finagle 6 pcs pack</x:v>
      </x:c>
      <x:c r="D2" s="3" t="str">
        <x:v>6 pcs pack</x:v>
      </x:c>
      <x:c r="E2" s="3" t="n">
        <x:v>6</x:v>
      </x:c>
      <x:c r="F2" s="3" t="str">
        <x:v>pcs</x:v>
      </x:c>
      <x:c r="G2" s="8" t="n">
        <x:v>355</x:v>
      </x:c>
      <x:c r="H2" s="9" t="n">
        <x:f>IF(OR(E2="",G2=""),"",G2/E2)</x:f>
        <x:v>59.166666666666664</x:v>
      </x:c>
      <x:c r="I2" s="3" t="str">
        <x:v>Finagle direct</x:v>
      </x:c>
      <x:c r="J2" s="3" t="str">
        <x:v>Best Buy retail at 410</x:v>
      </x:c>
      <x:c r="K2" s="3" t="str">
        <x:v>Main normal bun source.</x:v>
      </x:c>
      <x:c r="L2" s="3" t="str">
        <x:v>Confirmed</x:v>
      </x:c>
    </x:row>
    <x:row r="3">
      <x:c r="A3" s="3" t="str">
        <x:v>Packaging</x:v>
      </x:c>
      <x:c r="B3" s="3" t="str">
        <x:v>Burger Bun</x:v>
      </x:c>
      <x:c r="C3" s="3" t="str">
        <x:v>Finagle retail price</x:v>
      </x:c>
      <x:c r="D3" s="3" t="str">
        <x:v>6 pcs pack</x:v>
      </x:c>
      <x:c r="E3" s="3" t="n">
        <x:v>6</x:v>
      </x:c>
      <x:c r="F3" s="3" t="str">
        <x:v>pcs</x:v>
      </x:c>
      <x:c r="G3" s="8" t="n">
        <x:v>410</x:v>
      </x:c>
      <x:c r="H3" s="9" t="n">
        <x:f>IF(OR(E3="",G3=""),"",G3/E3)</x:f>
        <x:v>68.33333333333333</x:v>
      </x:c>
      <x:c r="I3" s="3" t="str">
        <x:v>Best Buy</x:v>
      </x:c>
      <x:c r="J3" s="3" t="str">
        <x:v>-</x:v>
      </x:c>
      <x:c r="K3" s="3" t="str">
        <x:v>Retail emergency price seen in January.</x:v>
      </x:c>
      <x:c r="L3" s="3" t="str">
        <x:v>Confirmed</x:v>
      </x:c>
    </x:row>
    <x:row r="4">
      <x:c r="A4" s="3" t="str">
        <x:v>Packaging</x:v>
      </x:c>
      <x:c r="B4" s="3" t="str">
        <x:v>Hotdog Bun</x:v>
      </x:c>
      <x:c r="C4" s="3" t="str">
        <x:v>Finagle 4 pcs pack</x:v>
      </x:c>
      <x:c r="D4" s="3" t="str">
        <x:v>4 pcs pack</x:v>
      </x:c>
      <x:c r="E4" s="3" t="n">
        <x:v>4</x:v>
      </x:c>
      <x:c r="F4" s="3" t="str">
        <x:v>pcs</x:v>
      </x:c>
      <x:c r="G4" s="8" t="n">
        <x:v>245</x:v>
      </x:c>
      <x:c r="H4" s="9" t="n">
        <x:f>IF(OR(E4="",G4=""),"",G4/E4)</x:f>
        <x:v>61.25</x:v>
      </x:c>
      <x:c r="I4" s="3" t="str">
        <x:v>Finagle direct</x:v>
      </x:c>
      <x:c r="J4" s="3" t="str">
        <x:v>Best Buy at 280</x:v>
      </x:c>
      <x:c r="K4" s="3" t="str">
        <x:v>Main normal hotdog bun price.</x:v>
      </x:c>
      <x:c r="L4" s="3" t="str">
        <x:v>Confirmed</x:v>
      </x:c>
    </x:row>
    <x:row r="5">
      <x:c r="A5" s="3" t="str">
        <x:v>Packaging</x:v>
      </x:c>
      <x:c r="B5" s="3" t="str">
        <x:v>Hotdog Bun</x:v>
      </x:c>
      <x:c r="C5" s="3" t="str">
        <x:v>Finagle retail price</x:v>
      </x:c>
      <x:c r="D5" s="3" t="str">
        <x:v>4 pcs pack</x:v>
      </x:c>
      <x:c r="E5" s="3" t="n">
        <x:v>4</x:v>
      </x:c>
      <x:c r="F5" s="3" t="str">
        <x:v>pcs</x:v>
      </x:c>
      <x:c r="G5" s="8" t="n">
        <x:v>280</x:v>
      </x:c>
      <x:c r="H5" s="9" t="n">
        <x:f>IF(OR(E5="",G5=""),"",G5/E5)</x:f>
        <x:v>70</x:v>
      </x:c>
      <x:c r="I5" s="3" t="str">
        <x:v>Best Buy</x:v>
      </x:c>
      <x:c r="J5" s="3" t="str">
        <x:v>-</x:v>
      </x:c>
      <x:c r="K5" s="3" t="str">
        <x:v>Retail emergency price.</x:v>
      </x:c>
      <x:c r="L5" s="3" t="str">
        <x:v>Confirmed</x:v>
      </x:c>
    </x:row>
    <x:row r="6">
      <x:c r="A6" s="3" t="str">
        <x:v>Packaging</x:v>
      </x:c>
      <x:c r="B6" s="3" t="str">
        <x:v>Submarine Bun</x:v>
      </x:c>
      <x:c r="C6" s="3" t="str">
        <x:v>2 pcs pack</x:v>
      </x:c>
      <x:c r="D6" s="3" t="str">
        <x:v>2 pcs</x:v>
      </x:c>
      <x:c r="E6" s="3" t="n">
        <x:v>2</x:v>
      </x:c>
      <x:c r="F6" s="3" t="str">
        <x:v>pcs</x:v>
      </x:c>
      <x:c r="G6" s="8" t="n">
        <x:v>320</x:v>
      </x:c>
      <x:c r="H6" s="9" t="n">
        <x:f>IF(OR(E6="",G6=""),"",G6/E6)</x:f>
        <x:v>160</x:v>
      </x:c>
      <x:c r="I6" s="3" t="str">
        <x:v>Retail</x:v>
      </x:c>
      <x:c r="J6" s="3" t="str">
        <x:v>-</x:v>
      </x:c>
      <x:c r="K6" s="3" t="str">
        <x:v>Used for future subs / sandwiches.</x:v>
      </x:c>
      <x:c r="L6" s="3" t="str">
        <x:v>Confirmed</x:v>
      </x:c>
    </x:row>
    <x:row r="7">
      <x:c r="A7" s="3" t="str">
        <x:v>Packaging</x:v>
      </x:c>
      <x:c r="B7" s="3" t="str">
        <x:v>Oil Paper / Burger Wrapper</x:v>
      </x:c>
      <x:c r="C7" s="3" t="str">
        <x:v>Ream</x:v>
      </x:c>
      <x:c r="D7" s="3" t="str">
        <x:v>~500 sheets</x:v>
      </x:c>
      <x:c r="E7" s="3" t="n">
        <x:v>500</x:v>
      </x:c>
      <x:c r="F7" s="3" t="str">
        <x:v>sheets</x:v>
      </x:c>
      <x:c r="G7" s="8" t="n">
        <x:v>3500</x:v>
      </x:c>
      <x:c r="H7" s="9" t="n">
        <x:f>IF(OR(E7="",G7=""),"",G7/E7)</x:f>
        <x:v>7</x:v>
      </x:c>
      <x:c r="I7" s="3" t="str">
        <x:v>Ajantha</x:v>
      </x:c>
      <x:c r="J7" s="3" t="str">
        <x:v>SMM at 3,800</x:v>
      </x:c>
      <x:c r="K7" s="3" t="str">
        <x:v>Approx 480–500 sheets per ream; one sheet wraps ~6 burgers.</x:v>
      </x:c>
      <x:c r="L7" s="3" t="str">
        <x:v>Working</x:v>
      </x:c>
    </x:row>
    <x:row r="8">
      <x:c r="A8" s="3" t="str">
        <x:v>Packaging</x:v>
      </x:c>
      <x:c r="B8" s="3" t="str">
        <x:v>Brown Paper Bag - Small</x:v>
      </x:c>
      <x:c r="C8" s="3" t="str">
        <x:v>For small fries</x:v>
      </x:c>
      <x:c r="D8" s="3" t="str">
        <x:v>100 pcs</x:v>
      </x:c>
      <x:c r="E8" s="3" t="n">
        <x:v>100</x:v>
      </x:c>
      <x:c r="F8" s="3" t="str">
        <x:v>pcs</x:v>
      </x:c>
      <x:c r="G8" s="8" t="n">
        <x:v>120</x:v>
      </x:c>
      <x:c r="H8" s="9" t="n">
        <x:f>IF(OR(E8="",G8=""),"",G8/E8)</x:f>
        <x:v>1.2</x:v>
      </x:c>
      <x:c r="I8" s="3" t="str">
        <x:v>SMM</x:v>
      </x:c>
      <x:c r="J8" s="3" t="str">
        <x:v>-</x:v>
      </x:c>
      <x:c r="K8" s="3" t="str">
        <x:v>Used for 90g fries.</x:v>
      </x:c>
      <x:c r="L8" s="3" t="str">
        <x:v>Confirmed</x:v>
      </x:c>
    </x:row>
    <x:row r="9">
      <x:c r="A9" s="3" t="str">
        <x:v>Packaging</x:v>
      </x:c>
      <x:c r="B9" s="3" t="str">
        <x:v>Brown Paper Bag - Medium</x:v>
      </x:c>
      <x:c r="C9" s="3" t="str">
        <x:v>For medium/large fries etc.</x:v>
      </x:c>
      <x:c r="D9" s="3" t="str">
        <x:v>100 pcs</x:v>
      </x:c>
      <x:c r="E9" s="3" t="n">
        <x:v>100</x:v>
      </x:c>
      <x:c r="F9" s="3" t="str">
        <x:v>pcs</x:v>
      </x:c>
      <x:c r="G9" s="8" t="n">
        <x:v>250</x:v>
      </x:c>
      <x:c r="H9" s="9" t="n">
        <x:f>IF(OR(E9="",G9=""),"",G9/E9)</x:f>
        <x:v>2.5</x:v>
      </x:c>
      <x:c r="I9" s="3" t="str">
        <x:v>SMM</x:v>
      </x:c>
      <x:c r="J9" s="3" t="str">
        <x:v>-</x:v>
      </x:c>
      <x:c r="K9" s="3" t="str">
        <x:v>Used for 140g/210g fries and some small items.</x:v>
      </x:c>
      <x:c r="L9" s="3" t="str">
        <x:v>Confirmed</x:v>
      </x:c>
    </x:row>
    <x:row r="10">
      <x:c r="A10" s="3" t="str">
        <x:v>Packaging</x:v>
      </x:c>
      <x:c r="B10" s="3" t="str">
        <x:v>Mini Chicken Bag</x:v>
      </x:c>
      <x:c r="C10" s="3" t="str">
        <x:v>Small carry bag</x:v>
      </x:c>
      <x:c r="D10" s="3" t="str">
        <x:v>100 pcs</x:v>
      </x:c>
      <x:c r="E10" s="3" t="n">
        <x:v>100</x:v>
      </x:c>
      <x:c r="F10" s="3" t="str">
        <x:v>pcs</x:v>
      </x:c>
      <x:c r="G10" s="8" t="n">
        <x:v>90</x:v>
      </x:c>
      <x:c r="H10" s="9" t="n">
        <x:f>IF(OR(E10="",G10=""),"",G10/E10)</x:f>
        <x:v>0.9</x:v>
      </x:c>
      <x:c r="I10" s="3" t="str">
        <x:v>Packaging supplier / SMM</x:v>
      </x:c>
      <x:c r="J10" s="3" t="str">
        <x:v>-</x:v>
      </x:c>
      <x:c r="K10" s="3" t="str">
        <x:v>Fits 2 burgers or 1 large fries or 1 hotdog.</x:v>
      </x:c>
      <x:c r="L10" s="3" t="str">
        <x:v>Confirmed</x:v>
      </x:c>
    </x:row>
    <x:row r="11">
      <x:c r="A11" s="3" t="str">
        <x:v>Packaging</x:v>
      </x:c>
      <x:c r="B11" s="3" t="str">
        <x:v>Chicken Bag</x:v>
      </x:c>
      <x:c r="C11" s="3" t="str">
        <x:v>Carry bag</x:v>
      </x:c>
      <x:c r="D11" s="3" t="str">
        <x:v>100 pcs</x:v>
      </x:c>
      <x:c r="E11" s="3" t="n">
        <x:v>100</x:v>
      </x:c>
      <x:c r="F11" s="3" t="str">
        <x:v>pcs</x:v>
      </x:c>
      <x:c r="G11" s="8" t="n">
        <x:v>110</x:v>
      </x:c>
      <x:c r="H11" s="9" t="n">
        <x:f>IF(OR(E11="",G11=""),"",G11/E11)</x:f>
        <x:v>1.1</x:v>
      </x:c>
      <x:c r="I11" s="3" t="str">
        <x:v>Packaging supplier</x:v>
      </x:c>
      <x:c r="J11" s="3" t="str">
        <x:v>-</x:v>
      </x:c>
      <x:c r="K11" s="3" t="str">
        <x:v>Fits 3 burgers / 2 hotdogs / 2 large fries.</x:v>
      </x:c>
      <x:c r="L11" s="3" t="str">
        <x:v>Confirmed</x:v>
      </x:c>
    </x:row>
    <x:row r="12">
      <x:c r="A12" s="3" t="str">
        <x:v>Packaging</x:v>
      </x:c>
      <x:c r="B12" s="3" t="str">
        <x:v>Medium Pizza Bag</x:v>
      </x:c>
      <x:c r="C12" s="3" t="str">
        <x:v>Carry bag</x:v>
      </x:c>
      <x:c r="D12" s="3" t="str">
        <x:v>100 pcs</x:v>
      </x:c>
      <x:c r="E12" s="3" t="n">
        <x:v>100</x:v>
      </x:c>
      <x:c r="F12" s="3" t="str">
        <x:v>pcs</x:v>
      </x:c>
      <x:c r="G12" s="8" t="n">
        <x:v>210</x:v>
      </x:c>
      <x:c r="H12" s="9" t="n">
        <x:f>IF(OR(E12="",G12=""),"",G12/E12)</x:f>
        <x:v>2.1</x:v>
      </x:c>
      <x:c r="I12" s="3" t="str">
        <x:v>Packaging supplier</x:v>
      </x:c>
      <x:c r="J12" s="3" t="str">
        <x:v>-</x:v>
      </x:c>
      <x:c r="K12" s="3" t="str">
        <x:v>Used for medium mixed takeaway orders.</x:v>
      </x:c>
      <x:c r="L12" s="3" t="str">
        <x:v>Confirmed</x:v>
      </x:c>
    </x:row>
    <x:row r="13">
      <x:c r="A13" s="3" t="str">
        <x:v>Packaging</x:v>
      </x:c>
      <x:c r="B13" s="3" t="str">
        <x:v>King Jumbo Pizza Bag</x:v>
      </x:c>
      <x:c r="C13" s="3" t="str">
        <x:v>Large pizza carry bag</x:v>
      </x:c>
      <x:c r="D13" s="3" t="str">
        <x:v>100 pcs</x:v>
      </x:c>
      <x:c r="E13" s="3" t="n">
        <x:v>100</x:v>
      </x:c>
      <x:c r="F13" s="3" t="str">
        <x:v>pcs</x:v>
      </x:c>
      <x:c r="G13" s="8" t="n">
        <x:v>1200</x:v>
      </x:c>
      <x:c r="H13" s="9" t="n">
        <x:f>IF(OR(E13="",G13=""),"",G13/E13)</x:f>
        <x:v>12</x:v>
      </x:c>
      <x:c r="I13" s="3" t="str">
        <x:v>Packaging supplier</x:v>
      </x:c>
      <x:c r="J13" s="3" t="str">
        <x:v>-</x:v>
      </x:c>
      <x:c r="K13" s="3" t="str">
        <x:v>Used only for pizzas.</x:v>
      </x:c>
      <x:c r="L13" s="3" t="str">
        <x:v>Confirmed</x:v>
      </x:c>
    </x:row>
    <x:row r="14">
      <x:c r="A14" s="3" t="str">
        <x:v>Packaging</x:v>
      </x:c>
      <x:c r="B14" s="3" t="str">
        <x:v>Ketchup Sachet</x:v>
      </x:c>
      <x:c r="C14" s="3" t="str">
        <x:v>NTT 15g</x:v>
      </x:c>
      <x:c r="D14" s="3" t="str">
        <x:v>160 pcs</x:v>
      </x:c>
      <x:c r="E14" s="3" t="n">
        <x:v>160</x:v>
      </x:c>
      <x:c r="F14" s="3" t="str">
        <x:v>pcs</x:v>
      </x:c>
      <x:c r="G14" s="8" t="n">
        <x:v>1500</x:v>
      </x:c>
      <x:c r="H14" s="9" t="n">
        <x:f>IF(OR(E14="",G14=""),"",G14/E14)</x:f>
        <x:v>9.375</x:v>
      </x:c>
      <x:c r="I14" s="3" t="str">
        <x:v>NTT</x:v>
      </x:c>
      <x:c r="J14" s="3" t="str">
        <x:v>-</x:v>
      </x:c>
      <x:c r="K14" s="3" t="str">
        <x:v>One sachet given with pizza, fries and mini sausage orders.</x:v>
      </x:c>
      <x:c r="L14" s="3" t="str">
        <x:v>Confirmed</x:v>
      </x:c>
    </x:row>
    <x:row r="15">
      <x:c r="A15" s="3" t="str">
        <x:v>Packaging</x:v>
      </x:c>
      <x:c r="B15" s="3" t="str">
        <x:v>Pizza Boxes</x:v>
      </x:c>
      <x:c r="C15" s="3" t="str">
        <x:v>10 inch + 12 inch invoice total</x:v>
      </x:c>
      <x:c r="D15" s="3" t="str">
        <x:v>Invoice total</x:v>
      </x:c>
      <x:c r="E15" s="3" t="str"/>
      <x:c r="F15" s="3" t="str"/>
      <x:c r="G15" s="8" t="n">
        <x:v>14710</x:v>
      </x:c>
      <x:c r="H15" s="9" t="str">
        <x:f>IF(OR(E15="",G15=""),"",G15/E15)</x:f>
      </x:c>
      <x:c r="I15" s="3" t="str">
        <x:v>Packaging supplier</x:v>
      </x:c>
      <x:c r="J15" s="3" t="str">
        <x:v>-</x:v>
      </x:c>
      <x:c r="K15" s="3" t="str">
        <x:v>Combined January invoice total for box purchase; per-size split not yet locked.</x:v>
      </x:c>
      <x:c r="L15" s="3" t="str">
        <x:v>Working</x:v>
      </x:c>
    </x:row>
    <x:row r="16">
      <x:c r="A16" s="3" t="str">
        <x:v>Consumable</x:v>
      </x:c>
      <x:c r="B16" s="3" t="str">
        <x:v>Toothpick</x:v>
      </x:c>
      <x:c r="C16" s="3" t="str">
        <x:v>Pack</x:v>
      </x:c>
      <x:c r="D16" s="3" t="str">
        <x:v>500 pcs</x:v>
      </x:c>
      <x:c r="E16" s="3" t="n">
        <x:v>500</x:v>
      </x:c>
      <x:c r="F16" s="3" t="str">
        <x:v>pcs</x:v>
      </x:c>
      <x:c r="G16" s="8" t="n">
        <x:v>175</x:v>
      </x:c>
      <x:c r="H16" s="9" t="n">
        <x:f>IF(OR(E16="",G16=""),"",G16/E16)</x:f>
        <x:v>0.35</x:v>
      </x:c>
      <x:c r="I16" s="3" t="str">
        <x:v>Retail</x:v>
      </x:c>
      <x:c r="J16" s="3" t="str">
        <x:v>Other Jan entries 200–285</x:v>
      </x:c>
      <x:c r="K16" s="3" t="str">
        <x:v>Used in burgers and general service.</x:v>
      </x:c>
      <x:c r="L16" s="3" t="str">
        <x:v>Working</x:v>
      </x:c>
    </x:row>
    <x:row r="17">
      <x:c r="A17" s="3" t="str">
        <x:v>Consumable</x:v>
      </x:c>
      <x:c r="B17" s="3" t="str">
        <x:v>Paper Serviette</x:v>
      </x:c>
      <x:c r="C17" s="3" t="str">
        <x:v>Pack bundle</x:v>
      </x:c>
      <x:c r="D17" s="3" t="str">
        <x:v>20 packs</x:v>
      </x:c>
      <x:c r="E17" s="3" t="n">
        <x:v>20</x:v>
      </x:c>
      <x:c r="F17" s="3" t="str">
        <x:v>packs</x:v>
      </x:c>
      <x:c r="G17" s="8" t="n">
        <x:v>1800</x:v>
      </x:c>
      <x:c r="H17" s="9" t="n">
        <x:f>IF(OR(E17="",G17=""),"",G17/E17)</x:f>
        <x:v>90</x:v>
      </x:c>
      <x:c r="I17" s="3" t="str">
        <x:v>Retail</x:v>
      </x:c>
      <x:c r="J17" s="3" t="str">
        <x:v>-</x:v>
      </x:c>
      <x:c r="K17" s="3" t="str">
        <x:v>Service consumable.</x:v>
      </x:c>
      <x:c r="L17" s="3" t="str">
        <x:v>Confirmed</x:v>
      </x:c>
    </x:row>
    <x:row r="18">
      <x:c r="A18" s="3" t="str">
        <x:v>Operational</x:v>
      </x:c>
      <x:c r="B18" s="3" t="str">
        <x:v>Gas Cylinder</x:v>
      </x:c>
      <x:c r="C18" s="3" t="str">
        <x:v>Litro 12.5kg</x:v>
      </x:c>
      <x:c r="D18" s="3" t="str">
        <x:v>12.5kg cylinder</x:v>
      </x:c>
      <x:c r="E18" s="3" t="n">
        <x:v>12.5</x:v>
      </x:c>
      <x:c r="F18" s="3" t="str">
        <x:v>kg</x:v>
      </x:c>
      <x:c r="G18" s="8" t="n">
        <x:v>3762</x:v>
      </x:c>
      <x:c r="H18" s="9" t="n">
        <x:f>IF(OR(E18="",G18=""),"",G18/E18)</x:f>
        <x:v>300.96</x:v>
      </x:c>
      <x:c r="I18" s="3" t="str">
        <x:v>Best Buy / Litro</x:v>
      </x:c>
      <x:c r="J18" s="3" t="str">
        <x:v>Seen 3,760–3,770 in Jan</x:v>
      </x:c>
      <x:c r="K18" s="3" t="str">
        <x:v>Main pizza gas.</x:v>
      </x:c>
      <x:c r="L18" s="3" t="str">
        <x:v>Confirmed</x:v>
      </x:c>
    </x:row>
    <x:row r="19">
      <x:c r="A19" s="3" t="str">
        <x:v>Operational</x:v>
      </x:c>
      <x:c r="B19" s="3" t="str">
        <x:v>Gas Cylinder</x:v>
      </x:c>
      <x:c r="C19" s="3" t="str">
        <x:v>Litro 5kg</x:v>
      </x:c>
      <x:c r="D19" s="3" t="str">
        <x:v>5kg cylinder</x:v>
      </x:c>
      <x:c r="E19" s="3" t="n">
        <x:v>5</x:v>
      </x:c>
      <x:c r="F19" s="3" t="str">
        <x:v>kg</x:v>
      </x:c>
      <x:c r="G19" s="8" t="n">
        <x:v>1525</x:v>
      </x:c>
      <x:c r="H19" s="9" t="n">
        <x:f>IF(OR(E19="",G19=""),"",G19/E19)</x:f>
        <x:v>305</x:v>
      </x:c>
      <x:c r="I19" s="3" t="str">
        <x:v>Best Buy / Litro</x:v>
      </x:c>
      <x:c r="J19" s="3" t="str">
        <x:v>-</x:v>
      </x:c>
      <x:c r="K19" s="3" t="str">
        <x:v>Burger / cooking gas.</x:v>
      </x:c>
      <x:c r="L19" s="3" t="str">
        <x:v>Confirmed</x:v>
      </x:c>
    </x:row>
    <x:row r="20">
      <x:c r="A20" s="3" t="str">
        <x:v>Operational</x:v>
      </x:c>
      <x:c r="B20" s="3" t="str">
        <x:v>Gas Cylinder</x:v>
      </x:c>
      <x:c r="C20" s="3" t="str">
        <x:v>Small cylinder</x:v>
      </x:c>
      <x:c r="D20" s="3" t="str">
        <x:v>2.5kg cylinder</x:v>
      </x:c>
      <x:c r="E20" s="3" t="n">
        <x:v>2.5</x:v>
      </x:c>
      <x:c r="F20" s="3" t="str">
        <x:v>kg</x:v>
      </x:c>
      <x:c r="G20" s="8" t="n">
        <x:v>720</x:v>
      </x:c>
      <x:c r="H20" s="9" t="n">
        <x:f>IF(OR(E20="",G20=""),"",G20/E20)</x:f>
        <x:v>288</x:v>
      </x:c>
      <x:c r="I20" s="3" t="str">
        <x:v>Best Buy / Litro</x:v>
      </x:c>
      <x:c r="J20" s="3" t="str">
        <x:v>-</x:v>
      </x:c>
      <x:c r="K20" s="3" t="str">
        <x:v>Emergency / smaller gas purchase entry.</x:v>
      </x:c>
      <x:c r="L20" s="3" t="str">
        <x:v>Confirmed</x:v>
      </x:c>
    </x:row>
  </x:sheetData>
  <x:conditionalFormatting sqref="L2:L20">
    <x:cfRule type="expression" dxfId="2" priority="1">
      <x:formula>L2="Working"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0" hidden="0" customWidth="1"/>
    <x:col min="6" max="6" width="10" hidden="0" customWidth="1"/>
    <x:col min="7" max="7" width="14" hidden="0" customWidth="1"/>
    <x:col min="8" max="8" width="18" hidden="0" customWidth="1"/>
    <x:col min="9" max="9" width="36" hidden="0" customWidth="1"/>
  </x:cols>
  <x:sheetData>
    <x:row r="1">
      <x:c r="A1" s="21" t="str">
        <x:v>Item</x:v>
      </x:c>
      <x:c r="B1" s="21" t="str">
        <x:v>Brand / Type</x:v>
      </x:c>
      <x:c r="C1" s="21" t="str">
        <x:v>Supplier</x:v>
      </x:c>
      <x:c r="D1" s="21" t="str">
        <x:v>Pack Size Text</x:v>
      </x:c>
      <x:c r="E1" s="21" t="str">
        <x:v>Pack Qty</x:v>
      </x:c>
      <x:c r="F1" s="21" t="str">
        <x:v>Pack Unit</x:v>
      </x:c>
      <x:c r="G1" s="21" t="str">
        <x:v>Price (LKR)</x:v>
      </x:c>
      <x:c r="H1" s="21" t="str">
        <x:v>Date / Context</x:v>
      </x:c>
      <x:c r="I1" s="21" t="str">
        <x:v>Notes</x:v>
      </x:c>
    </x:row>
    <x:row r="2">
      <x:c r="A2" s="3" t="str">
        <x:v>Pizza Flour</x:v>
      </x:c>
      <x:c r="B2" s="3" t="str">
        <x:v>Prima Top Flour</x:v>
      </x:c>
      <x:c r="C2" s="3" t="str">
        <x:v>Prima / David Stores</x:v>
      </x:c>
      <x:c r="D2" s="3" t="str">
        <x:v>25kg bag</x:v>
      </x:c>
      <x:c r="E2" s="3" t="n">
        <x:v>25</x:v>
      </x:c>
      <x:c r="F2" s="3" t="str">
        <x:v>kg</x:v>
      </x:c>
      <x:c r="G2" s="8" t="n">
        <x:v>6400</x:v>
      </x:c>
      <x:c r="H2" s="3" t="str">
        <x:v>Jan 24 2026</x:v>
      </x:c>
      <x:c r="I2" s="3" t="str">
        <x:v>Plus 100 tip paid separately</x:v>
      </x:c>
    </x:row>
    <x:row r="3">
      <x:c r="A3" s="3" t="str">
        <x:v>Pizza Flour</x:v>
      </x:c>
      <x:c r="B3" s="3" t="str">
        <x:v>Prima Top Flour</x:v>
      </x:c>
      <x:c r="C3" s="3" t="str">
        <x:v>Earlier known price</x:v>
      </x:c>
      <x:c r="D3" s="3" t="str">
        <x:v>25kg bag</x:v>
      </x:c>
      <x:c r="E3" s="3" t="n">
        <x:v>25</x:v>
      </x:c>
      <x:c r="F3" s="3" t="str">
        <x:v>kg</x:v>
      </x:c>
      <x:c r="G3" s="8" t="n">
        <x:v>6550</x:v>
      </x:c>
      <x:c r="H3" s="3" t="str">
        <x:v>Prior locked data</x:v>
      </x:c>
      <x:c r="I3" s="3" t="str">
        <x:v>Older working price before Jan 24 update</x:v>
      </x:c>
    </x:row>
    <x:row r="4">
      <x:c r="A4" s="3" t="str">
        <x:v>A/P Flour</x:v>
      </x:c>
      <x:c r="B4" s="3" t="str">
        <x:v>Wheat flour</x:v>
      </x:c>
      <x:c r="C4" s="3" t="str">
        <x:v>Best Buy / SMM</x:v>
      </x:c>
      <x:c r="D4" s="3" t="str">
        <x:v>5kg pack</x:v>
      </x:c>
      <x:c r="E4" s="3" t="n">
        <x:v>5</x:v>
      </x:c>
      <x:c r="F4" s="3" t="str">
        <x:v>kg</x:v>
      </x:c>
      <x:c r="G4" s="8" t="n">
        <x:v>900</x:v>
      </x:c>
      <x:c r="H4" s="3" t="str">
        <x:v>Jan 26 2026</x:v>
      </x:c>
      <x:c r="I4" s="3" t="str">
        <x:v>Used for dusting</x:v>
      </x:c>
    </x:row>
    <x:row r="5">
      <x:c r="A5" s="3" t="str">
        <x:v>Sugar</x:v>
      </x:c>
      <x:c r="B5" s="3" t="str">
        <x:v>White sugar</x:v>
      </x:c>
      <x:c r="C5" s="3" t="str">
        <x:v>Best Buy</x:v>
      </x:c>
      <x:c r="D5" s="3" t="str">
        <x:v>1kg pack</x:v>
      </x:c>
      <x:c r="E5" s="3" t="n">
        <x:v>1</x:v>
      </x:c>
      <x:c r="F5" s="3" t="str">
        <x:v>kg</x:v>
      </x:c>
      <x:c r="G5" s="8" t="n">
        <x:v>220</x:v>
      </x:c>
      <x:c r="H5" s="3" t="str">
        <x:v>Jan 1 2026</x:v>
      </x:c>
      <x:c r="I5" s="3" t="str"/>
    </x:row>
    <x:row r="6">
      <x:c r="A6" s="3" t="str">
        <x:v>Salt</x:v>
      </x:c>
      <x:c r="B6" s="3" t="str">
        <x:v>Salt</x:v>
      </x:c>
      <x:c r="C6" s="3" t="str">
        <x:v>Best Buy / SMM</x:v>
      </x:c>
      <x:c r="D6" s="3" t="str">
        <x:v>400g pack</x:v>
      </x:c>
      <x:c r="E6" s="3" t="n">
        <x:v>400</x:v>
      </x:c>
      <x:c r="F6" s="3" t="str">
        <x:v>g</x:v>
      </x:c>
      <x:c r="G6" s="8" t="n">
        <x:v>155</x:v>
      </x:c>
      <x:c r="H6" s="3" t="str">
        <x:v>Jan 1 2026</x:v>
      </x:c>
      <x:c r="I6" s="3" t="str"/>
    </x:row>
    <x:row r="7">
      <x:c r="A7" s="3" t="str">
        <x:v>Salt</x:v>
      </x:c>
      <x:c r="B7" s="3" t="str">
        <x:v>Salt</x:v>
      </x:c>
      <x:c r="C7" s="3" t="str">
        <x:v>Unknown small pack</x:v>
      </x:c>
      <x:c r="D7" s="3" t="str">
        <x:v>Small pack</x:v>
      </x:c>
      <x:c r="E7" s="3" t="str"/>
      <x:c r="F7" s="3" t="str"/>
      <x:c r="G7" s="8" t="n">
        <x:v>120</x:v>
      </x:c>
      <x:c r="H7" s="3" t="str">
        <x:v>Jan multiple</x:v>
      </x:c>
      <x:c r="I7" s="3" t="str">
        <x:v>Qty not confirmed</x:v>
      </x:c>
    </x:row>
    <x:row r="8">
      <x:c r="A8" s="3" t="str">
        <x:v>Yeast</x:v>
      </x:c>
      <x:c r="B8" s="3" t="str">
        <x:v>Mayuripan</x:v>
      </x:c>
      <x:c r="C8" s="3" t="str">
        <x:v>Ajantha</x:v>
      </x:c>
      <x:c r="D8" s="3" t="str">
        <x:v>12g x 5</x:v>
      </x:c>
      <x:c r="E8" s="3" t="n">
        <x:v>60</x:v>
      </x:c>
      <x:c r="F8" s="3" t="str">
        <x:v>g</x:v>
      </x:c>
      <x:c r="G8" s="8" t="n">
        <x:v>460</x:v>
      </x:c>
      <x:c r="H8" s="3" t="str">
        <x:v>Locked data</x:v>
      </x:c>
      <x:c r="I8" s="3" t="str"/>
    </x:row>
    <x:row r="9">
      <x:c r="A9" s="3" t="str">
        <x:v>Mozzarella</x:v>
      </x:c>
      <x:c r="B9" s="3" t="str">
        <x:v>Prabhat / Eastwest</x:v>
      </x:c>
      <x:c r="C9" s="3" t="str">
        <x:v>Eastwest</x:v>
      </x:c>
      <x:c r="D9" s="3" t="str">
        <x:v>2kg block</x:v>
      </x:c>
      <x:c r="E9" s="3" t="n">
        <x:v>2</x:v>
      </x:c>
      <x:c r="F9" s="3" t="str">
        <x:v>kg</x:v>
      </x:c>
      <x:c r="G9" s="8" t="n">
        <x:v>5100</x:v>
      </x:c>
      <x:c r="H9" s="3" t="str">
        <x:v>Locked data</x:v>
      </x:c>
      <x:c r="I9" s="3" t="str"/>
    </x:row>
    <x:row r="10">
      <x:c r="A10" s="3" t="str">
        <x:v>Mozzarella</x:v>
      </x:c>
      <x:c r="B10" s="3" t="str">
        <x:v>Margarita</x:v>
      </x:c>
      <x:c r="C10" s="3" t="str">
        <x:v>Margarita factory</x:v>
      </x:c>
      <x:c r="D10" s="3" t="str">
        <x:v>1kg block</x:v>
      </x:c>
      <x:c r="E10" s="3" t="n">
        <x:v>1</x:v>
      </x:c>
      <x:c r="F10" s="3" t="str">
        <x:v>kg</x:v>
      </x:c>
      <x:c r="G10" s="8" t="n">
        <x:v>2900</x:v>
      </x:c>
      <x:c r="H10" s="3" t="str">
        <x:v>Locked data</x:v>
      </x:c>
      <x:c r="I10" s="3" t="str"/>
    </x:row>
    <x:row r="11">
      <x:c r="A11" s="3" t="str">
        <x:v>Mozzarella</x:v>
      </x:c>
      <x:c r="B11" s="3" t="str">
        <x:v>Ciao</x:v>
      </x:c>
      <x:c r="C11" s="3" t="str">
        <x:v>Ciao</x:v>
      </x:c>
      <x:c r="D11" s="3" t="str">
        <x:v>2kg block</x:v>
      </x:c>
      <x:c r="E11" s="3" t="n">
        <x:v>2</x:v>
      </x:c>
      <x:c r="F11" s="3" t="str">
        <x:v>kg</x:v>
      </x:c>
      <x:c r="G11" s="8" t="n">
        <x:v>5900</x:v>
      </x:c>
      <x:c r="H11" s="3" t="str">
        <x:v>Jan 16 2026</x:v>
      </x:c>
      <x:c r="I11" s="3" t="str"/>
    </x:row>
    <x:row r="12">
      <x:c r="A12" s="3" t="str">
        <x:v>Peeled Tomato / Sugo</x:v>
      </x:c>
      <x:c r="B12" s="3" t="str">
        <x:v>Ajantha</x:v>
      </x:c>
      <x:c r="C12" s="3" t="str">
        <x:v>Ajantha</x:v>
      </x:c>
      <x:c r="D12" s="3" t="str">
        <x:v>2550g can</x:v>
      </x:c>
      <x:c r="E12" s="3" t="n">
        <x:v>2550</x:v>
      </x:c>
      <x:c r="F12" s="3" t="str">
        <x:v>g</x:v>
      </x:c>
      <x:c r="G12" s="8" t="n">
        <x:v>2850</x:v>
      </x:c>
      <x:c r="H12" s="3" t="str">
        <x:v>Jan multiple</x:v>
      </x:c>
      <x:c r="I12" s="3" t="str"/>
    </x:row>
    <x:row r="13">
      <x:c r="A13" s="3" t="str">
        <x:v>Tomato Paste</x:v>
      </x:c>
      <x:c r="B13" s="3" t="str">
        <x:v>Valle del Sole</x:v>
      </x:c>
      <x:c r="C13" s="3" t="str">
        <x:v>Eastwest</x:v>
      </x:c>
      <x:c r="D13" s="3" t="str">
        <x:v>2200g can</x:v>
      </x:c>
      <x:c r="E13" s="3" t="n">
        <x:v>2200</x:v>
      </x:c>
      <x:c r="F13" s="3" t="str">
        <x:v>g</x:v>
      </x:c>
      <x:c r="G13" s="8" t="n">
        <x:v>4012</x:v>
      </x:c>
      <x:c r="H13" s="3" t="str">
        <x:v>Locked data</x:v>
      </x:c>
      <x:c r="I13" s="3" t="str"/>
    </x:row>
    <x:row r="14">
      <x:c r="A14" s="3" t="str">
        <x:v>Chicken</x:v>
      </x:c>
      <x:c r="B14" s="3" t="str">
        <x:v>Raw with bone</x:v>
      </x:c>
      <x:c r="C14" s="3" t="str">
        <x:v>Local supplier</x:v>
      </x:c>
      <x:c r="D14" s="3" t="str">
        <x:v>3.060kg</x:v>
      </x:c>
      <x:c r="E14" s="3" t="n">
        <x:v>3.06</x:v>
      </x:c>
      <x:c r="F14" s="3" t="str">
        <x:v>kg</x:v>
      </x:c>
      <x:c r="G14" s="8" t="n">
        <x:v>3534</x:v>
      </x:c>
      <x:c r="H14" s="3" t="str">
        <x:v>Jan 2 2026</x:v>
      </x:c>
      <x:c r="I14" s="3" t="str">
        <x:v>Example purchase</x:v>
      </x:c>
    </x:row>
    <x:row r="15">
      <x:c r="A15" s="3" t="str">
        <x:v>Chicken</x:v>
      </x:c>
      <x:c r="B15" s="3" t="str">
        <x:v>Raw with bone</x:v>
      </x:c>
      <x:c r="C15" s="3" t="str">
        <x:v>Local supplier</x:v>
      </x:c>
      <x:c r="D15" s="3" t="str">
        <x:v>1.920kg</x:v>
      </x:c>
      <x:c r="E15" s="3" t="n">
        <x:v>1.92</x:v>
      </x:c>
      <x:c r="F15" s="3" t="str">
        <x:v>kg</x:v>
      </x:c>
      <x:c r="G15" s="8" t="n">
        <x:v>2218</x:v>
      </x:c>
      <x:c r="H15" s="3" t="str">
        <x:v>Jan 6 2026</x:v>
      </x:c>
      <x:c r="I15" s="3" t="str">
        <x:v>Example purchase</x:v>
      </x:c>
    </x:row>
    <x:row r="16">
      <x:c r="A16" s="3" t="str">
        <x:v>Chicken</x:v>
      </x:c>
      <x:c r="B16" s="3" t="str">
        <x:v>Working rate</x:v>
      </x:c>
      <x:c r="C16" s="3" t="str">
        <x:v>General</x:v>
      </x:c>
      <x:c r="D16" s="3" t="str">
        <x:v>1kg</x:v>
      </x:c>
      <x:c r="E16" s="3" t="n">
        <x:v>1</x:v>
      </x:c>
      <x:c r="F16" s="3" t="str">
        <x:v>kg</x:v>
      </x:c>
      <x:c r="G16" s="8" t="n">
        <x:v>1040</x:v>
      </x:c>
      <x:c r="H16" s="3" t="str">
        <x:v>Working standard</x:v>
      </x:c>
      <x:c r="I16" s="3" t="str">
        <x:v>Use as costing base unless updated</x:v>
      </x:c>
    </x:row>
    <x:row r="17">
      <x:c r="A17" s="3" t="str">
        <x:v>Prawns</x:v>
      </x:c>
      <x:c r="B17" s="3" t="str">
        <x:v>~35 pcs/kg</x:v>
      </x:c>
      <x:c r="C17" s="3" t="str">
        <x:v>Pambala village</x:v>
      </x:c>
      <x:c r="D17" s="3" t="str">
        <x:v>1kg</x:v>
      </x:c>
      <x:c r="E17" s="3" t="n">
        <x:v>1</x:v>
      </x:c>
      <x:c r="F17" s="3" t="str">
        <x:v>kg</x:v>
      </x:c>
      <x:c r="G17" s="8" t="n">
        <x:v>3200</x:v>
      </x:c>
      <x:c r="H17" s="3" t="str">
        <x:v>Working standard</x:v>
      </x:c>
      <x:c r="I17" s="3" t="str">
        <x:v>Price varies daily</x:v>
      </x:c>
    </x:row>
    <x:row r="18">
      <x:c r="A18" s="3" t="str">
        <x:v>Tuna</x:v>
      </x:c>
      <x:c r="B18" s="3" t="str">
        <x:v>Tonno can</x:v>
      </x:c>
      <x:c r="C18" s="3" t="str">
        <x:v>Mallika Italy shop</x:v>
      </x:c>
      <x:c r="D18" s="3" t="str">
        <x:v>80g can</x:v>
      </x:c>
      <x:c r="E18" s="3" t="n">
        <x:v>80</x:v>
      </x:c>
      <x:c r="F18" s="3" t="str">
        <x:v>g</x:v>
      </x:c>
      <x:c r="G18" s="8" t="n">
        <x:v>500</x:v>
      </x:c>
      <x:c r="H18" s="3" t="str">
        <x:v>Locked data</x:v>
      </x:c>
      <x:c r="I18" s="3" t="str"/>
    </x:row>
    <x:row r="19">
      <x:c r="A19" s="3" t="str">
        <x:v>Bacon Ends</x:v>
      </x:c>
      <x:c r="B19" s="3" t="str">
        <x:v>Elephant House</x:v>
      </x:c>
      <x:c r="C19" s="3" t="str">
        <x:v>Keells Marawila</x:v>
      </x:c>
      <x:c r="D19" s="3" t="str">
        <x:v>500g pack</x:v>
      </x:c>
      <x:c r="E19" s="3" t="n">
        <x:v>500</x:v>
      </x:c>
      <x:c r="F19" s="3" t="str">
        <x:v>g</x:v>
      </x:c>
      <x:c r="G19" s="8" t="n">
        <x:v>2300</x:v>
      </x:c>
      <x:c r="H19" s="3" t="str">
        <x:v>Locked data</x:v>
      </x:c>
      <x:c r="I19" s="3" t="str"/>
    </x:row>
    <x:row r="20">
      <x:c r="A20" s="3" t="str">
        <x:v>Mini Sausages</x:v>
      </x:c>
      <x:c r="B20" s="3" t="str">
        <x:v>Maxies C&amp;O</x:v>
      </x:c>
      <x:c r="C20" s="3" t="str">
        <x:v>Maxies</x:v>
      </x:c>
      <x:c r="D20" s="3" t="str">
        <x:v>1kg pack</x:v>
      </x:c>
      <x:c r="E20" s="3" t="n">
        <x:v>1</x:v>
      </x:c>
      <x:c r="F20" s="3" t="str">
        <x:v>kg</x:v>
      </x:c>
      <x:c r="G20" s="8" t="n">
        <x:v>1510</x:v>
      </x:c>
      <x:c r="H20" s="3" t="str">
        <x:v>Jan multiple</x:v>
      </x:c>
      <x:c r="I20" s="3" t="str"/>
    </x:row>
    <x:row r="21">
      <x:c r="A21" s="3" t="str">
        <x:v>Pussallawa Sausage</x:v>
      </x:c>
      <x:c r="B21" s="3" t="str">
        <x:v>Jumbo sausage</x:v>
      </x:c>
      <x:c r="C21" s="3" t="str">
        <x:v>Ajantha / RC Super</x:v>
      </x:c>
      <x:c r="D21" s="3" t="str">
        <x:v>1kg pack</x:v>
      </x:c>
      <x:c r="E21" s="3" t="n">
        <x:v>1</x:v>
      </x:c>
      <x:c r="F21" s="3" t="str">
        <x:v>kg</x:v>
      </x:c>
      <x:c r="G21" s="8" t="n">
        <x:v>1300</x:v>
      </x:c>
      <x:c r="H21" s="3" t="str">
        <x:v>Jan / locked</x:v>
      </x:c>
      <x:c r="I21" s="3" t="str">
        <x:v>Lower known price</x:v>
      </x:c>
    </x:row>
    <x:row r="22">
      <x:c r="A22" s="3" t="str">
        <x:v>Pussallawa Sausage</x:v>
      </x:c>
      <x:c r="B22" s="3" t="str">
        <x:v>Jumbo sausage</x:v>
      </x:c>
      <x:c r="C22" s="3" t="str">
        <x:v>Ajantha / RC Super</x:v>
      </x:c>
      <x:c r="D22" s="3" t="str">
        <x:v>1kg pack</x:v>
      </x:c>
      <x:c r="E22" s="3" t="n">
        <x:v>1</x:v>
      </x:c>
      <x:c r="F22" s="3" t="str">
        <x:v>kg</x:v>
      </x:c>
      <x:c r="G22" s="8" t="n">
        <x:v>1350</x:v>
      </x:c>
      <x:c r="H22" s="3" t="str">
        <x:v>Jan / locked</x:v>
      </x:c>
      <x:c r="I22" s="3" t="str">
        <x:v>Upper known price</x:v>
      </x:c>
    </x:row>
    <x:row r="23">
      <x:c r="A23" s="3" t="str">
        <x:v>Keells C&amp;O Sausage</x:v>
      </x:c>
      <x:c r="B23" s="3" t="str">
        <x:v>Jumbo</x:v>
      </x:c>
      <x:c r="C23" s="3" t="str">
        <x:v>Keells Marawila</x:v>
      </x:c>
      <x:c r="D23" s="3" t="str">
        <x:v>14 pcs pack</x:v>
      </x:c>
      <x:c r="E23" s="3" t="n">
        <x:v>14</x:v>
      </x:c>
      <x:c r="F23" s="3" t="str">
        <x:v>pcs</x:v>
      </x:c>
      <x:c r="G23" s="8" t="n">
        <x:v>2156</x:v>
      </x:c>
      <x:c r="H23" s="3" t="str">
        <x:v>Locked data</x:v>
      </x:c>
      <x:c r="I23" s="3" t="str"/>
    </x:row>
    <x:row r="24">
      <x:c r="A24" s="3" t="str">
        <x:v>Chicken Patty</x:v>
      </x:c>
      <x:c r="B24" s="3" t="str">
        <x:v>Maxies</x:v>
      </x:c>
      <x:c r="C24" s="3" t="str">
        <x:v>Maxies</x:v>
      </x:c>
      <x:c r="D24" s="3" t="str">
        <x:v>30 pcs pack</x:v>
      </x:c>
      <x:c r="E24" s="3" t="n">
        <x:v>30</x:v>
      </x:c>
      <x:c r="F24" s="3" t="str">
        <x:v>pcs</x:v>
      </x:c>
      <x:c r="G24" s="8" t="n">
        <x:v>1950</x:v>
      </x:c>
      <x:c r="H24" s="3" t="str">
        <x:v>Jan multiple</x:v>
      </x:c>
      <x:c r="I24" s="3" t="str"/>
    </x:row>
    <x:row r="25">
      <x:c r="A25" s="3" t="str">
        <x:v>Fish Cake</x:v>
      </x:c>
      <x:c r="B25" s="3" t="str">
        <x:v>Keells</x:v>
      </x:c>
      <x:c r="C25" s="3" t="str">
        <x:v>Keells</x:v>
      </x:c>
      <x:c r="D25" s="3" t="str">
        <x:v>24 pcs pack</x:v>
      </x:c>
      <x:c r="E25" s="3" t="n">
        <x:v>24</x:v>
      </x:c>
      <x:c r="F25" s="3" t="str">
        <x:v>pcs</x:v>
      </x:c>
      <x:c r="G25" s="8" t="n">
        <x:v>2065</x:v>
      </x:c>
      <x:c r="H25" s="3" t="str">
        <x:v>Locked data</x:v>
      </x:c>
      <x:c r="I25" s="3" t="str"/>
    </x:row>
    <x:row r="26">
      <x:c r="A26" s="3" t="str">
        <x:v>Eggs</x:v>
      </x:c>
      <x:c r="B26" s="3" t="str">
        <x:v>Eggs</x:v>
      </x:c>
      <x:c r="C26" s="3" t="str">
        <x:v>Local shop</x:v>
      </x:c>
      <x:c r="D26" s="3" t="str">
        <x:v>10 pcs</x:v>
      </x:c>
      <x:c r="E26" s="3" t="n">
        <x:v>10</x:v>
      </x:c>
      <x:c r="F26" s="3" t="str">
        <x:v>pcs</x:v>
      </x:c>
      <x:c r="G26" s="8" t="n">
        <x:v>320</x:v>
      </x:c>
      <x:c r="H26" s="3" t="str">
        <x:v>Jan 25 2026</x:v>
      </x:c>
      <x:c r="I26" s="3" t="str">
        <x:v>Low Jan example</x:v>
      </x:c>
    </x:row>
    <x:row r="27">
      <x:c r="A27" s="3" t="str">
        <x:v>Eggs</x:v>
      </x:c>
      <x:c r="B27" s="3" t="str">
        <x:v>Eggs</x:v>
      </x:c>
      <x:c r="C27" s="3" t="str">
        <x:v>Local shop</x:v>
      </x:c>
      <x:c r="D27" s="3" t="str">
        <x:v>10 pcs</x:v>
      </x:c>
      <x:c r="E27" s="3" t="n">
        <x:v>10</x:v>
      </x:c>
      <x:c r="F27" s="3" t="str">
        <x:v>pcs</x:v>
      </x:c>
      <x:c r="G27" s="8" t="n">
        <x:v>400</x:v>
      </x:c>
      <x:c r="H27" s="3" t="str">
        <x:v>Jan 5 2026</x:v>
      </x:c>
      <x:c r="I27" s="3" t="str">
        <x:v>High Jan example</x:v>
      </x:c>
    </x:row>
    <x:row r="28">
      <x:c r="A28" s="3" t="str">
        <x:v>Butter</x:v>
      </x:c>
      <x:c r="B28" s="3" t="str">
        <x:v>Ciao</x:v>
      </x:c>
      <x:c r="C28" s="3" t="str">
        <x:v>Ciao</x:v>
      </x:c>
      <x:c r="D28" s="3" t="str">
        <x:v>500g pack</x:v>
      </x:c>
      <x:c r="E28" s="3" t="n">
        <x:v>500</x:v>
      </x:c>
      <x:c r="F28" s="3" t="str">
        <x:v>g</x:v>
      </x:c>
      <x:c r="G28" s="8" t="n">
        <x:v>1550</x:v>
      </x:c>
      <x:c r="H28" s="3" t="str">
        <x:v>Locked data</x:v>
      </x:c>
      <x:c r="I28" s="3" t="str"/>
    </x:row>
    <x:row r="29">
      <x:c r="A29" s="3" t="str">
        <x:v>Sunflower Oil</x:v>
      </x:c>
      <x:c r="B29" s="3" t="str">
        <x:v>Oil</x:v>
      </x:c>
      <x:c r="C29" s="3" t="str">
        <x:v>SMM</x:v>
      </x:c>
      <x:c r="D29" s="3" t="str">
        <x:v>3kg pack</x:v>
      </x:c>
      <x:c r="E29" s="3" t="n">
        <x:v>3</x:v>
      </x:c>
      <x:c r="F29" s="3" t="str">
        <x:v>kg</x:v>
      </x:c>
      <x:c r="G29" s="8" t="n">
        <x:v>1520</x:v>
      </x:c>
      <x:c r="H29" s="3" t="str">
        <x:v>Jan 27 2026</x:v>
      </x:c>
      <x:c r="I29" s="3" t="str"/>
    </x:row>
    <x:row r="30">
      <x:c r="A30" s="3" t="str">
        <x:v>Sunflower Oil</x:v>
      </x:c>
      <x:c r="B30" s="3" t="str">
        <x:v>Oil</x:v>
      </x:c>
      <x:c r="C30" s="3" t="str">
        <x:v>Unknown</x:v>
      </x:c>
      <x:c r="D30" s="3" t="str">
        <x:v>580g pack</x:v>
      </x:c>
      <x:c r="E30" s="3" t="n">
        <x:v>580</x:v>
      </x:c>
      <x:c r="F30" s="3" t="str">
        <x:v>g</x:v>
      </x:c>
      <x:c r="G30" s="8" t="n">
        <x:v>1160</x:v>
      </x:c>
      <x:c r="H30" s="3" t="str">
        <x:v>Jan 22 2026</x:v>
      </x:c>
      <x:c r="I30" s="3" t="str">
        <x:v>Unusually high small pack entry</x:v>
      </x:c>
    </x:row>
    <x:row r="31">
      <x:c r="A31" s="3" t="str">
        <x:v>Palm Oil</x:v>
      </x:c>
      <x:c r="B31" s="3" t="str">
        <x:v>Oil</x:v>
      </x:c>
      <x:c r="C31" s="3" t="str">
        <x:v>Ajantha</x:v>
      </x:c>
      <x:c r="D31" s="3" t="str">
        <x:v>3.78L pack</x:v>
      </x:c>
      <x:c r="E31" s="3" t="n">
        <x:v>3.78</x:v>
      </x:c>
      <x:c r="F31" s="3" t="str">
        <x:v>L</x:v>
      </x:c>
      <x:c r="G31" s="8" t="n">
        <x:v>3300</x:v>
      </x:c>
      <x:c r="H31" s="3" t="str">
        <x:v>Jan 4 2026</x:v>
      </x:c>
      <x:c r="I31" s="3" t="str"/>
    </x:row>
    <x:row r="32">
      <x:c r="A32" s="3" t="str">
        <x:v>Palm Oil</x:v>
      </x:c>
      <x:c r="B32" s="3" t="str">
        <x:v>Oil</x:v>
      </x:c>
      <x:c r="C32" s="3" t="str">
        <x:v>Unknown</x:v>
      </x:c>
      <x:c r="D32" s="3" t="str">
        <x:v>3.670kg pack</x:v>
      </x:c>
      <x:c r="E32" s="3" t="n">
        <x:v>3.67</x:v>
      </x:c>
      <x:c r="F32" s="3" t="str">
        <x:v>kg</x:v>
      </x:c>
      <x:c r="G32" s="8" t="n">
        <x:v>3370</x:v>
      </x:c>
      <x:c r="H32" s="3" t="str">
        <x:v>Jan 15 2026</x:v>
      </x:c>
      <x:c r="I32" s="3" t="str"/>
    </x:row>
    <x:row r="33">
      <x:c r="A33" s="3" t="str">
        <x:v>Tomato</x:v>
      </x:c>
      <x:c r="B33" s="3" t="str">
        <x:v>Fresh tomato</x:v>
      </x:c>
      <x:c r="C33" s="3" t="str">
        <x:v>Nimmi</x:v>
      </x:c>
      <x:c r="D33" s="3" t="str">
        <x:v>610g</x:v>
      </x:c>
      <x:c r="E33" s="3" t="n">
        <x:v>610</x:v>
      </x:c>
      <x:c r="F33" s="3" t="str">
        <x:v>g</x:v>
      </x:c>
      <x:c r="G33" s="8" t="n">
        <x:v>427</x:v>
      </x:c>
      <x:c r="H33" s="3" t="str">
        <x:v>Jan 5 2026</x:v>
      </x:c>
      <x:c r="I33" s="3" t="str">
        <x:v>Example purchase</x:v>
      </x:c>
    </x:row>
    <x:row r="34">
      <x:c r="A34" s="3" t="str">
        <x:v>Tomato</x:v>
      </x:c>
      <x:c r="B34" s="3" t="str">
        <x:v>Fresh tomato</x:v>
      </x:c>
      <x:c r="C34" s="3" t="str">
        <x:v>Nimmi</x:v>
      </x:c>
      <x:c r="D34" s="3" t="str">
        <x:v>570g</x:v>
      </x:c>
      <x:c r="E34" s="3" t="n">
        <x:v>570</x:v>
      </x:c>
      <x:c r="F34" s="3" t="str">
        <x:v>g</x:v>
      </x:c>
      <x:c r="G34" s="8" t="n">
        <x:v>342</x:v>
      </x:c>
      <x:c r="H34" s="3" t="str">
        <x:v>Jan 25 2026</x:v>
      </x:c>
      <x:c r="I34" s="3" t="str">
        <x:v>Example purchase</x:v>
      </x:c>
    </x:row>
    <x:row r="35">
      <x:c r="A35" s="3" t="str">
        <x:v>Onion</x:v>
      </x:c>
      <x:c r="B35" s="3" t="str">
        <x:v>Fresh onion</x:v>
      </x:c>
      <x:c r="C35" s="3" t="str">
        <x:v>Nimmi</x:v>
      </x:c>
      <x:c r="D35" s="3" t="str">
        <x:v>1185g</x:v>
      </x:c>
      <x:c r="E35" s="3" t="n">
        <x:v>1185</x:v>
      </x:c>
      <x:c r="F35" s="3" t="str">
        <x:v>g</x:v>
      </x:c>
      <x:c r="G35" s="8" t="n">
        <x:v>296</x:v>
      </x:c>
      <x:c r="H35" s="3" t="str">
        <x:v>Jan 12 2026</x:v>
      </x:c>
      <x:c r="I35" s="3" t="str">
        <x:v>Example purchase</x:v>
      </x:c>
    </x:row>
    <x:row r="36">
      <x:c r="A36" s="3" t="str">
        <x:v>Onion</x:v>
      </x:c>
      <x:c r="B36" s="3" t="str">
        <x:v>Fresh onion</x:v>
      </x:c>
      <x:c r="C36" s="3" t="str">
        <x:v>Nimmi</x:v>
      </x:c>
      <x:c r="D36" s="3" t="str">
        <x:v>1035g</x:v>
      </x:c>
      <x:c r="E36" s="3" t="n">
        <x:v>1035</x:v>
      </x:c>
      <x:c r="F36" s="3" t="str">
        <x:v>g</x:v>
      </x:c>
      <x:c r="G36" s="8" t="n">
        <x:v>258</x:v>
      </x:c>
      <x:c r="H36" s="3" t="str">
        <x:v>Jan 21 2026</x:v>
      </x:c>
      <x:c r="I36" s="3" t="str">
        <x:v>Example purchase</x:v>
      </x:c>
    </x:row>
    <x:row r="37">
      <x:c r="A37" s="3" t="str">
        <x:v>Lettuce</x:v>
      </x:c>
      <x:c r="B37" s="3" t="str">
        <x:v>Fresh lettuce</x:v>
      </x:c>
      <x:c r="C37" s="3" t="str">
        <x:v>Nimmi</x:v>
      </x:c>
      <x:c r="D37" s="3" t="str">
        <x:v>600g</x:v>
      </x:c>
      <x:c r="E37" s="3" t="n">
        <x:v>600</x:v>
      </x:c>
      <x:c r="F37" s="3" t="str">
        <x:v>g</x:v>
      </x:c>
      <x:c r="G37" s="8" t="n">
        <x:v>420</x:v>
      </x:c>
      <x:c r="H37" s="3" t="str">
        <x:v>Jan 21 2026</x:v>
      </x:c>
      <x:c r="I37" s="3" t="str">
        <x:v>Example purchase</x:v>
      </x:c>
    </x:row>
    <x:row r="38">
      <x:c r="A38" s="3" t="str">
        <x:v>Lettuce</x:v>
      </x:c>
      <x:c r="B38" s="3" t="str">
        <x:v>Fresh lettuce</x:v>
      </x:c>
      <x:c r="C38" s="3" t="str">
        <x:v>Nimmi</x:v>
      </x:c>
      <x:c r="D38" s="3" t="str">
        <x:v>430g</x:v>
      </x:c>
      <x:c r="E38" s="3" t="n">
        <x:v>430</x:v>
      </x:c>
      <x:c r="F38" s="3" t="str">
        <x:v>g</x:v>
      </x:c>
      <x:c r="G38" s="8" t="n">
        <x:v>516</x:v>
      </x:c>
      <x:c r="H38" s="3" t="str">
        <x:v>Jan 16 2026</x:v>
      </x:c>
      <x:c r="I38" s="3" t="str">
        <x:v>Example purchase</x:v>
      </x:c>
    </x:row>
    <x:row r="39">
      <x:c r="A39" s="3" t="str">
        <x:v>Bell Pepper</x:v>
      </x:c>
      <x:c r="B39" s="3" t="str">
        <x:v>Fresh bell pepper</x:v>
      </x:c>
      <x:c r="C39" s="3" t="str">
        <x:v>Nimmi</x:v>
      </x:c>
      <x:c r="D39" s="3" t="str">
        <x:v>338g</x:v>
      </x:c>
      <x:c r="E39" s="3" t="n">
        <x:v>338</x:v>
      </x:c>
      <x:c r="F39" s="3" t="str">
        <x:v>g</x:v>
      </x:c>
      <x:c r="G39" s="8" t="n">
        <x:v>466</x:v>
      </x:c>
      <x:c r="H39" s="3" t="str">
        <x:v>Jan 2 2026</x:v>
      </x:c>
      <x:c r="I39" s="3" t="str">
        <x:v>Example purchase</x:v>
      </x:c>
    </x:row>
    <x:row r="40">
      <x:c r="A40" s="3" t="str">
        <x:v>Bell Pepper</x:v>
      </x:c>
      <x:c r="B40" s="3" t="str">
        <x:v>Fresh bell pepper</x:v>
      </x:c>
      <x:c r="C40" s="3" t="str">
        <x:v>Nimmi</x:v>
      </x:c>
      <x:c r="D40" s="3" t="str">
        <x:v>376g</x:v>
      </x:c>
      <x:c r="E40" s="3" t="n">
        <x:v>376</x:v>
      </x:c>
      <x:c r="F40" s="3" t="str">
        <x:v>g</x:v>
      </x:c>
      <x:c r="G40" s="8" t="n">
        <x:v>846</x:v>
      </x:c>
      <x:c r="H40" s="3" t="str">
        <x:v>Jan 25 2026</x:v>
      </x:c>
      <x:c r="I40" s="3" t="str">
        <x:v>Example purchase</x:v>
      </x:c>
    </x:row>
    <x:row r="41">
      <x:c r="A41" s="3" t="str">
        <x:v>Mushrooms</x:v>
      </x:c>
      <x:c r="B41" s="3" t="str">
        <x:v>Oyster mushroom</x:v>
      </x:c>
      <x:c r="C41" s="3" t="str">
        <x:v>Local source</x:v>
      </x:c>
      <x:c r="D41" s="3" t="str">
        <x:v>200g pack</x:v>
      </x:c>
      <x:c r="E41" s="3" t="n">
        <x:v>200</x:v>
      </x:c>
      <x:c r="F41" s="3" t="str">
        <x:v>g</x:v>
      </x:c>
      <x:c r="G41" s="8" t="n">
        <x:v>150</x:v>
      </x:c>
      <x:c r="H41" s="3" t="str">
        <x:v>Locked data</x:v>
      </x:c>
      <x:c r="I41" s="3" t="str">
        <x:v>Current low-cost source</x:v>
      </x:c>
    </x:row>
    <x:row r="42">
      <x:c r="A42" s="3" t="str">
        <x:v>Mushrooms</x:v>
      </x:c>
      <x:c r="B42" s="3" t="str">
        <x:v>Button mushroom</x:v>
      </x:c>
      <x:c r="C42" s="3" t="str">
        <x:v>Keells / Global Green</x:v>
      </x:c>
      <x:c r="D42" s="3" t="str">
        <x:v>200g pack</x:v>
      </x:c>
      <x:c r="E42" s="3" t="n">
        <x:v>200</x:v>
      </x:c>
      <x:c r="F42" s="3" t="str">
        <x:v>g</x:v>
      </x:c>
      <x:c r="G42" s="8" t="n">
        <x:v>595</x:v>
      </x:c>
      <x:c r="H42" s="3" t="str">
        <x:v>Older locked data</x:v>
      </x:c>
      <x:c r="I42" s="3" t="str">
        <x:v>Alternative higher-cost source</x:v>
      </x:c>
    </x:row>
    <x:row r="43">
      <x:c r="A43" s="3" t="str">
        <x:v>Corn</x:v>
      </x:c>
      <x:c r="B43" s="3" t="str">
        <x:v>Fresh corn</x:v>
      </x:c>
      <x:c r="C43" s="3" t="str">
        <x:v>Local source</x:v>
      </x:c>
      <x:c r="D43" s="3" t="str">
        <x:v>1 cob</x:v>
      </x:c>
      <x:c r="E43" s="3" t="n">
        <x:v>1</x:v>
      </x:c>
      <x:c r="F43" s="3" t="str">
        <x:v>pc</x:v>
      </x:c>
      <x:c r="G43" s="8" t="n">
        <x:v>100</x:v>
      </x:c>
      <x:c r="H43" s="3" t="str">
        <x:v>Locked data</x:v>
      </x:c>
      <x:c r="I43" s="3" t="str"/>
    </x:row>
    <x:row r="44">
      <x:c r="A44" s="3" t="str">
        <x:v>Ketchup</x:v>
      </x:c>
      <x:c r="B44" s="3" t="str">
        <x:v>Kist</x:v>
      </x:c>
      <x:c r="C44" s="3" t="str">
        <x:v>Ajantha</x:v>
      </x:c>
      <x:c r="D44" s="3" t="str">
        <x:v>4L pack</x:v>
      </x:c>
      <x:c r="E44" s="3" t="n">
        <x:v>4</x:v>
      </x:c>
      <x:c r="F44" s="3" t="str">
        <x:v>L</x:v>
      </x:c>
      <x:c r="G44" s="8" t="n">
        <x:v>1750</x:v>
      </x:c>
      <x:c r="H44" s="3" t="str">
        <x:v>Jan 25 2026</x:v>
      </x:c>
      <x:c r="I44" s="3" t="str"/>
    </x:row>
    <x:row r="45">
      <x:c r="A45" s="3" t="str">
        <x:v>Ketchup</x:v>
      </x:c>
      <x:c r="B45" s="3" t="str">
        <x:v>Kist</x:v>
      </x:c>
      <x:c r="C45" s="3" t="str">
        <x:v>Ajantha</x:v>
      </x:c>
      <x:c r="D45" s="3" t="str">
        <x:v>4L pack</x:v>
      </x:c>
      <x:c r="E45" s="3" t="n">
        <x:v>4</x:v>
      </x:c>
      <x:c r="F45" s="3" t="str">
        <x:v>L</x:v>
      </x:c>
      <x:c r="G45" s="8" t="n">
        <x:v>1800</x:v>
      </x:c>
      <x:c r="H45" s="3" t="str">
        <x:v>Older lock</x:v>
      </x:c>
      <x:c r="I45" s="3" t="str">
        <x:v>Higher seen price</x:v>
      </x:c>
    </x:row>
    <x:row r="46">
      <x:c r="A46" s="3" t="str">
        <x:v>BBQ Sauce</x:v>
      </x:c>
      <x:c r="B46" s="3" t="str">
        <x:v>Ma's Kitchen</x:v>
      </x:c>
      <x:c r="C46" s="3" t="str">
        <x:v>Best Buy</x:v>
      </x:c>
      <x:c r="D46" s="3" t="str">
        <x:v>260ml bottle</x:v>
      </x:c>
      <x:c r="E46" s="3" t="n">
        <x:v>260</x:v>
      </x:c>
      <x:c r="F46" s="3" t="str">
        <x:v>ml</x:v>
      </x:c>
      <x:c r="G46" s="8" t="n">
        <x:v>620</x:v>
      </x:c>
      <x:c r="H46" s="3" t="str">
        <x:v>Locked data</x:v>
      </x:c>
      <x:c r="I46" s="3" t="str">
        <x:v>Best Buy discount</x:v>
      </x:c>
    </x:row>
    <x:row r="47">
      <x:c r="A47" s="3" t="str">
        <x:v>BBQ Sauce</x:v>
      </x:c>
      <x:c r="B47" s="3" t="str">
        <x:v>Ma's Kitchen</x:v>
      </x:c>
      <x:c r="C47" s="3" t="str">
        <x:v>MRP / other</x:v>
      </x:c>
      <x:c r="D47" s="3" t="str">
        <x:v>260ml bottle</x:v>
      </x:c>
      <x:c r="E47" s="3" t="n">
        <x:v>260</x:v>
      </x:c>
      <x:c r="F47" s="3" t="str">
        <x:v>ml</x:v>
      </x:c>
      <x:c r="G47" s="8" t="n">
        <x:v>670</x:v>
      </x:c>
      <x:c r="H47" s="3" t="str">
        <x:v>Locked data</x:v>
      </x:c>
      <x:c r="I47" s="3" t="str">
        <x:v>MRP</x:v>
      </x:c>
    </x:row>
    <x:row r="48">
      <x:c r="A48" s="3" t="str">
        <x:v>Mayonnaise</x:v>
      </x:c>
      <x:c r="B48" s="3" t="str">
        <x:v>Bulk mayo</x:v>
      </x:c>
      <x:c r="C48" s="3" t="str">
        <x:v>Ajantha</x:v>
      </x:c>
      <x:c r="D48" s="3" t="str">
        <x:v>3.78L pack</x:v>
      </x:c>
      <x:c r="E48" s="3" t="n">
        <x:v>3.78</x:v>
      </x:c>
      <x:c r="F48" s="3" t="str">
        <x:v>L</x:v>
      </x:c>
      <x:c r="G48" s="8" t="n">
        <x:v>3300</x:v>
      </x:c>
      <x:c r="H48" s="3" t="str">
        <x:v>Locked data</x:v>
      </x:c>
      <x:c r="I48" s="3" t="str"/>
    </x:row>
    <x:row r="49">
      <x:c r="A49" s="3" t="str">
        <x:v>Pepper Powder</x:v>
      </x:c>
      <x:c r="B49" s="3" t="str">
        <x:v>Powder</x:v>
      </x:c>
      <x:c r="C49" s="3" t="str">
        <x:v>Ajantha / retail</x:v>
      </x:c>
      <x:c r="D49" s="3" t="str">
        <x:v>100g pack</x:v>
      </x:c>
      <x:c r="E49" s="3" t="n">
        <x:v>100</x:v>
      </x:c>
      <x:c r="F49" s="3" t="str">
        <x:v>g</x:v>
      </x:c>
      <x:c r="G49" s="8" t="n">
        <x:v>500</x:v>
      </x:c>
      <x:c r="H49" s="3" t="str">
        <x:v>Jan 17 2026</x:v>
      </x:c>
      <x:c r="I49" s="3" t="str"/>
    </x:row>
    <x:row r="50">
      <x:c r="A50" s="3" t="str">
        <x:v>Pepper Powder</x:v>
      </x:c>
      <x:c r="B50" s="3" t="str">
        <x:v>Powder</x:v>
      </x:c>
      <x:c r="C50" s="3" t="str">
        <x:v>Retail</x:v>
      </x:c>
      <x:c r="D50" s="3" t="str">
        <x:v>50g pack</x:v>
      </x:c>
      <x:c r="E50" s="3" t="n">
        <x:v>50</x:v>
      </x:c>
      <x:c r="F50" s="3" t="str">
        <x:v>g</x:v>
      </x:c>
      <x:c r="G50" s="8" t="n">
        <x:v>250</x:v>
      </x:c>
      <x:c r="H50" s="3" t="str">
        <x:v>Older lock</x:v>
      </x:c>
      <x:c r="I50" s="3" t="str"/>
    </x:row>
    <x:row r="51">
      <x:c r="A51" s="3" t="str">
        <x:v>Chilli Powder</x:v>
      </x:c>
      <x:c r="B51" s="3" t="str">
        <x:v>Powder</x:v>
      </x:c>
      <x:c r="C51" s="3" t="str">
        <x:v>Ajantha</x:v>
      </x:c>
      <x:c r="D51" s="3" t="str">
        <x:v>100g pack</x:v>
      </x:c>
      <x:c r="E51" s="3" t="n">
        <x:v>100</x:v>
      </x:c>
      <x:c r="F51" s="3" t="str">
        <x:v>g</x:v>
      </x:c>
      <x:c r="G51" s="8" t="n">
        <x:v>170</x:v>
      </x:c>
      <x:c r="H51" s="3" t="str">
        <x:v>Jan 17/25 2026</x:v>
      </x:c>
      <x:c r="I51" s="3" t="str"/>
    </x:row>
    <x:row r="52">
      <x:c r="A52" s="3" t="str">
        <x:v>Chilli Flakes</x:v>
      </x:c>
      <x:c r="B52" s="3" t="str">
        <x:v>Flakes</x:v>
      </x:c>
      <x:c r="C52" s="3" t="str">
        <x:v>Ajantha</x:v>
      </x:c>
      <x:c r="D52" s="3" t="str">
        <x:v>100g pack</x:v>
      </x:c>
      <x:c r="E52" s="3" t="n">
        <x:v>100</x:v>
      </x:c>
      <x:c r="F52" s="3" t="str">
        <x:v>g</x:v>
      </x:c>
      <x:c r="G52" s="8" t="n">
        <x:v>200</x:v>
      </x:c>
      <x:c r="H52" s="3" t="str">
        <x:v>Locked data</x:v>
      </x:c>
      <x:c r="I52" s="3" t="str"/>
    </x:row>
    <x:row r="53">
      <x:c r="A53" s="3" t="str">
        <x:v>Oregano</x:v>
      </x:c>
      <x:c r="B53" s="3" t="str">
        <x:v>Dried herb</x:v>
      </x:c>
      <x:c r="C53" s="3" t="str">
        <x:v>Ajantha / SMM</x:v>
      </x:c>
      <x:c r="D53" s="3" t="str">
        <x:v>100g pack</x:v>
      </x:c>
      <x:c r="E53" s="3" t="n">
        <x:v>100</x:v>
      </x:c>
      <x:c r="F53" s="3" t="str">
        <x:v>g</x:v>
      </x:c>
      <x:c r="G53" s="8" t="n">
        <x:v>500</x:v>
      </x:c>
      <x:c r="H53" s="3" t="str">
        <x:v>Locked data</x:v>
      </x:c>
      <x:c r="I53" s="3" t="str"/>
    </x:row>
    <x:row r="54">
      <x:c r="A54" s="3" t="str">
        <x:v>Garlic Powder</x:v>
      </x:c>
      <x:c r="B54" s="3" t="str">
        <x:v>Powder</x:v>
      </x:c>
      <x:c r="C54" s="3" t="str">
        <x:v>Ajantha</x:v>
      </x:c>
      <x:c r="D54" s="3" t="str">
        <x:v>50g pack</x:v>
      </x:c>
      <x:c r="E54" s="3" t="n">
        <x:v>50</x:v>
      </x:c>
      <x:c r="F54" s="3" t="str">
        <x:v>g</x:v>
      </x:c>
      <x:c r="G54" s="8" t="n">
        <x:v>250</x:v>
      </x:c>
      <x:c r="H54" s="3" t="str">
        <x:v>Jan 25 2026</x:v>
      </x:c>
      <x:c r="I54" s="3" t="str"/>
    </x:row>
    <x:row r="55">
      <x:c r="A55" s="3" t="str">
        <x:v>Ginger Powder</x:v>
      </x:c>
      <x:c r="B55" s="3" t="str">
        <x:v>Powder</x:v>
      </x:c>
      <x:c r="C55" s="3" t="str">
        <x:v>Ajantha</x:v>
      </x:c>
      <x:c r="D55" s="3" t="str">
        <x:v>50g pack</x:v>
      </x:c>
      <x:c r="E55" s="3" t="n">
        <x:v>50</x:v>
      </x:c>
      <x:c r="F55" s="3" t="str">
        <x:v>g</x:v>
      </x:c>
      <x:c r="G55" s="8" t="n">
        <x:v>520</x:v>
      </x:c>
      <x:c r="H55" s="3" t="str">
        <x:v>Jan 25 2026</x:v>
      </x:c>
      <x:c r="I55" s="3" t="str"/>
    </x:row>
    <x:row r="56">
      <x:c r="A56" s="3" t="str">
        <x:v>Paprika</x:v>
      </x:c>
      <x:c r="B56" s="3" t="str">
        <x:v>Powder</x:v>
      </x:c>
      <x:c r="C56" s="3" t="str">
        <x:v>Ajantha</x:v>
      </x:c>
      <x:c r="D56" s="3" t="str">
        <x:v>50g pack</x:v>
      </x:c>
      <x:c r="E56" s="3" t="n">
        <x:v>50</x:v>
      </x:c>
      <x:c r="F56" s="3" t="str">
        <x:v>g</x:v>
      </x:c>
      <x:c r="G56" s="8" t="n">
        <x:v>690</x:v>
      </x:c>
      <x:c r="H56" s="3" t="str">
        <x:v>Jan 28 2026</x:v>
      </x:c>
      <x:c r="I56" s="3" t="str"/>
    </x:row>
    <x:row r="57">
      <x:c r="A57" s="3" t="str">
        <x:v>Fresh Milk</x:v>
      </x:c>
      <x:c r="B57" s="3" t="str">
        <x:v>Liquid milk</x:v>
      </x:c>
      <x:c r="C57" s="3" t="str">
        <x:v>Local supplier</x:v>
      </x:c>
      <x:c r="D57" s="3" t="str">
        <x:v>1L pack</x:v>
      </x:c>
      <x:c r="E57" s="3" t="n">
        <x:v>1</x:v>
      </x:c>
      <x:c r="F57" s="3" t="str">
        <x:v>L</x:v>
      </x:c>
      <x:c r="G57" s="8" t="n">
        <x:v>500</x:v>
      </x:c>
      <x:c r="H57" s="3" t="str">
        <x:v>Updated price</x:v>
      </x:c>
      <x:c r="I57" s="3" t="str">
        <x:v>Used for milkshake costing</x:v>
      </x:c>
    </x:row>
    <x:row r="58">
      <x:c r="A58" s="3" t="str">
        <x:v>Chocolate</x:v>
      </x:c>
      <x:c r="B58" s="3" t="str">
        <x:v>Solid chocolate</x:v>
      </x:c>
      <x:c r="C58" s="3" t="str">
        <x:v>Local supplier</x:v>
      </x:c>
      <x:c r="D58" s="3" t="str">
        <x:v>400g pack</x:v>
      </x:c>
      <x:c r="E58" s="3" t="n">
        <x:v>400</x:v>
      </x:c>
      <x:c r="F58" s="3" t="str">
        <x:v>g</x:v>
      </x:c>
      <x:c r="G58" s="8" t="n">
        <x:v>730</x:v>
      </x:c>
      <x:c r="H58" s="3" t="str">
        <x:v>Milkshake costing</x:v>
      </x:c>
      <x:c r="I58" s="3" t="str"/>
    </x:row>
    <x:row r="59">
      <x:c r="A59" s="3" t="str">
        <x:v>Milo</x:v>
      </x:c>
      <x:c r="B59" s="3" t="str">
        <x:v>Powder</x:v>
      </x:c>
      <x:c r="C59" s="3" t="str">
        <x:v>Local supplier</x:v>
      </x:c>
      <x:c r="D59" s="3" t="str">
        <x:v>400g pack</x:v>
      </x:c>
      <x:c r="E59" s="3" t="n">
        <x:v>400</x:v>
      </x:c>
      <x:c r="F59" s="3" t="str">
        <x:v>g</x:v>
      </x:c>
      <x:c r="G59" s="8" t="n">
        <x:v>860</x:v>
      </x:c>
      <x:c r="H59" s="3" t="str">
        <x:v>Milkshake costing</x:v>
      </x:c>
      <x:c r="I59" s="3" t="str"/>
    </x:row>
    <x:row r="60">
      <x:c r="A60" s="3" t="str">
        <x:v>Chocolate Ice Cream</x:v>
      </x:c>
      <x:c r="B60" s="3" t="str">
        <x:v>Kotmale</x:v>
      </x:c>
      <x:c r="C60" s="3" t="str">
        <x:v>Retail</x:v>
      </x:c>
      <x:c r="D60" s="3" t="str">
        <x:v>1L tub</x:v>
      </x:c>
      <x:c r="E60" s="3" t="n">
        <x:v>1</x:v>
      </x:c>
      <x:c r="F60" s="3" t="str">
        <x:v>L</x:v>
      </x:c>
      <x:c r="G60" s="8" t="n">
        <x:v>600</x:v>
      </x:c>
      <x:c r="H60" s="3" t="str">
        <x:v>Working current MRP</x:v>
      </x:c>
      <x:c r="I60" s="3" t="str">
        <x:v>Used in milkshake costing</x:v>
      </x:c>
    </x:row>
    <x:row r="61">
      <x:c r="A61" s="3" t="str">
        <x:v>Vanilla Ice Cream</x:v>
      </x:c>
      <x:c r="B61" s="3" t="str">
        <x:v>Kotmale</x:v>
      </x:c>
      <x:c r="C61" s="3" t="str">
        <x:v>Retail</x:v>
      </x:c>
      <x:c r="D61" s="3" t="str">
        <x:v>1L tub</x:v>
      </x:c>
      <x:c r="E61" s="3" t="n">
        <x:v>1</x:v>
      </x:c>
      <x:c r="F61" s="3" t="str">
        <x:v>L</x:v>
      </x:c>
      <x:c r="G61" s="8" t="n">
        <x:v>550</x:v>
      </x:c>
      <x:c r="H61" s="3" t="str">
        <x:v>Working current MRP</x:v>
      </x:c>
      <x:c r="I61" s="3" t="str">
        <x:v>Used in milkshake costing</x:v>
      </x:c>
    </x:row>
    <x:row r="62">
      <x:c r="A62" s="3" t="str">
        <x:v>Kist Olo Biscuit</x:v>
      </x:c>
      <x:c r="B62" s="3" t="str">
        <x:v>Biscuit</x:v>
      </x:c>
      <x:c r="C62" s="3" t="str">
        <x:v>Retail</x:v>
      </x:c>
      <x:c r="D62" s="3" t="str">
        <x:v>140g / 13 biscuits</x:v>
      </x:c>
      <x:c r="E62" s="3" t="n">
        <x:v>13</x:v>
      </x:c>
      <x:c r="F62" s="3" t="str">
        <x:v>pcs</x:v>
      </x:c>
      <x:c r="G62" s="8" t="n">
        <x:v>280</x:v>
      </x:c>
      <x:c r="H62" s="3" t="str">
        <x:v>Milkshake costing</x:v>
      </x:c>
      <x:c r="I62" s="3" t="str">
        <x:v>Approx 21.54 per biscuit</x:v>
      </x:c>
    </x:row>
    <x:row r="63">
      <x:c r="A63" s="3" t="str">
        <x:v>Wafer Stick</x:v>
      </x:c>
      <x:c r="B63" s="3" t="str">
        <x:v>Chocolate wafer</x:v>
      </x:c>
      <x:c r="C63" s="3" t="str">
        <x:v>Retail</x:v>
      </x:c>
      <x:c r="D63" s="3" t="str">
        <x:v>96 pcs pack</x:v>
      </x:c>
      <x:c r="E63" s="3" t="n">
        <x:v>96</x:v>
      </x:c>
      <x:c r="F63" s="3" t="str">
        <x:v>pcs</x:v>
      </x:c>
      <x:c r="G63" s="8" t="n">
        <x:v>888</x:v>
      </x:c>
      <x:c r="H63" s="3" t="str">
        <x:v>Milkshake costing</x:v>
      </x:c>
      <x:c r="I63" s="3" t="str"/>
    </x:row>
    <x:row r="64">
      <x:c r="A64" s="3" t="str">
        <x:v>Chocolate Syrup</x:v>
      </x:c>
      <x:c r="B64" s="3" t="str">
        <x:v>Syrup</x:v>
      </x:c>
      <x:c r="C64" s="3" t="str">
        <x:v>Retail</x:v>
      </x:c>
      <x:c r="D64" s="3" t="str">
        <x:v>270ml bottle</x:v>
      </x:c>
      <x:c r="E64" s="3" t="n">
        <x:v>270</x:v>
      </x:c>
      <x:c r="F64" s="3" t="str">
        <x:v>ml</x:v>
      </x:c>
      <x:c r="G64" s="8" t="n">
        <x:v>1045</x:v>
      </x:c>
      <x:c r="H64" s="3" t="str">
        <x:v>Milkshake costing</x:v>
      </x:c>
      <x:c r="I64" s="3" t="str">
        <x:v>Used at 10ml per drink</x:v>
      </x:c>
    </x:row>
    <x:row r="65">
      <x:c r="A65" s="3" t="str">
        <x:v>Chocolate Syrup</x:v>
      </x:c>
      <x:c r="B65" s="3" t="str">
        <x:v>Syrup</x:v>
      </x:c>
      <x:c r="C65" s="3" t="str">
        <x:v>Retail</x:v>
      </x:c>
      <x:c r="D65" s="3" t="str">
        <x:v>Unknown size</x:v>
      </x:c>
      <x:c r="E65" s="3" t="str"/>
      <x:c r="F65" s="3" t="str"/>
      <x:c r="G65" s="8" t="n">
        <x:v>1515</x:v>
      </x:c>
      <x:c r="H65" s="3" t="str">
        <x:v>Jan 27 2026</x:v>
      </x:c>
      <x:c r="I65" s="3" t="str">
        <x:v>Alternate purchase size not locked</x:v>
      </x:c>
    </x:row>
    <x:row r="66">
      <x:c r="A66" s="3" t="str">
        <x:v>Spaghetti</x:v>
      </x:c>
      <x:c r="B66" s="3" t="str">
        <x:v>Dry pasta</x:v>
      </x:c>
      <x:c r="C66" s="3" t="str">
        <x:v>Locked Mar 2026</x:v>
      </x:c>
      <x:c r="D66" s="3" t="str">
        <x:v>400g pack</x:v>
      </x:c>
      <x:c r="E66" s="27" t="n">
        <x:v>400</x:v>
      </x:c>
      <x:c r="F66" s="3" t="str">
        <x:v>g</x:v>
      </x:c>
      <x:c r="G66" s="27" t="n">
        <x:v>400</x:v>
      </x:c>
      <x:c r="H66" s="3" t="str">
        <x:v>Mar 26 2026</x:v>
      </x:c>
      <x:c r="I66" s="3" t="str">
        <x:v>User provided updated price</x:v>
      </x:c>
    </x:row>
    <x:row r="67">
      <x:c r="A67" t="str">
        <x:v>Penne</x:v>
      </x:c>
      <x:c r="B67" t="str">
        <x:v>Dry pasta</x:v>
      </x:c>
      <x:c r="C67" t="str">
        <x:v>Locked Mar 2026</x:v>
      </x:c>
      <x:c r="D67" t="str">
        <x:v>400g pack</x:v>
      </x:c>
      <x:c r="E67" s="28" t="n">
        <x:v>400</x:v>
      </x:c>
      <x:c r="F67" t="str">
        <x:v>g</x:v>
      </x:c>
      <x:c r="G67" s="28" t="n">
        <x:v>250</x:v>
      </x:c>
      <x:c r="H67" t="str">
        <x:v>Mar 26 2026</x:v>
      </x:c>
      <x:c r="I67" t="str">
        <x:v>User provided updated price</x:v>
      </x:c>
    </x:row>
    <x:row r="68">
      <x:c r="A68" t="str">
        <x:v>Thyme</x:v>
      </x:c>
      <x:c r="B68" t="str">
        <x:v>Dried herb</x:v>
      </x:c>
      <x:c r="C68" t="str">
        <x:v>Locked Mar 2026</x:v>
      </x:c>
      <x:c r="D68" t="str">
        <x:v>10g pack</x:v>
      </x:c>
      <x:c r="E68" s="28" t="n">
        <x:v>10</x:v>
      </x:c>
      <x:c r="F68" t="str">
        <x:v>g</x:v>
      </x:c>
      <x:c r="G68" s="28" t="n">
        <x:v>80</x:v>
      </x:c>
      <x:c r="H68" t="str">
        <x:v>Mar 26 2026</x:v>
      </x:c>
      <x:c r="I68" t="str">
        <x:v>User provided updated price</x:v>
      </x:c>
    </x:row>
    <x:row r="69">
      <x:c r="A69" t="str">
        <x:v>Bay Leaf</x:v>
      </x:c>
      <x:c r="B69" t="str">
        <x:v>Dried herb</x:v>
      </x:c>
      <x:c r="C69" t="str">
        <x:v>Locked Mar 2026</x:v>
      </x:c>
      <x:c r="D69" t="str">
        <x:v>10g pack</x:v>
      </x:c>
      <x:c r="E69" s="28" t="n">
        <x:v>10</x:v>
      </x:c>
      <x:c r="F69" t="str">
        <x:v>g</x:v>
      </x:c>
      <x:c r="G69" s="28" t="n">
        <x:v>95</x:v>
      </x:c>
      <x:c r="H69" t="str">
        <x:v>Mar 26 2026</x:v>
      </x:c>
      <x:c r="I69" t="str">
        <x:v>User provided updated price</x:v>
      </x:c>
    </x:row>
    <x:row r="70">
      <x:c r="A70" t="str">
        <x:v>Rosemary</x:v>
      </x:c>
      <x:c r="B70" t="str">
        <x:v>Dried herb</x:v>
      </x:c>
      <x:c r="C70" t="str">
        <x:v>Locked Mar 2026</x:v>
      </x:c>
      <x:c r="D70" t="str">
        <x:v>10g pack</x:v>
      </x:c>
      <x:c r="E70" s="28" t="n">
        <x:v>10</x:v>
      </x:c>
      <x:c r="F70" t="str">
        <x:v>g</x:v>
      </x:c>
      <x:c r="G70" s="28" t="n">
        <x:v>85</x:v>
      </x:c>
      <x:c r="H70" t="str">
        <x:v>Mar 26 2026</x:v>
      </x:c>
      <x:c r="I70" t="str">
        <x:v>User provided updated price</x:v>
      </x:c>
    </x:row>
    <x:row r="71">
      <x:c r="A71" t="str">
        <x:v>Turmeric</x:v>
      </x:c>
      <x:c r="B71" t="str">
        <x:v>Powder spice</x:v>
      </x:c>
      <x:c r="C71" t="str">
        <x:v>Locked Mar 2026</x:v>
      </x:c>
      <x:c r="D71" t="str">
        <x:v>50g pack</x:v>
      </x:c>
      <x:c r="E71" s="28" t="n">
        <x:v>50</x:v>
      </x:c>
      <x:c r="F71" t="str">
        <x:v>g</x:v>
      </x:c>
      <x:c r="G71" s="28" t="n">
        <x:v>480</x:v>
      </x:c>
      <x:c r="H71" t="str">
        <x:v>Mar 26 2026</x:v>
      </x:c>
      <x:c r="I71" t="str">
        <x:v>User provided updated price</x:v>
      </x:c>
    </x:row>
    <x:row r="72">
      <x:c r="A72" t="str">
        <x:v>Gas</x:v>
      </x:c>
      <x:c r="B72" t="str">
        <x:v>2.3kg cylinder</x:v>
      </x:c>
      <x:c r="C72" t="str">
        <x:v>Emergency</x:v>
      </x:c>
      <x:c r="D72" t="str">
        <x:v>2.3kg cylinder</x:v>
      </x:c>
      <x:c r="E72" s="28" t="n">
        <x:v>2.3</x:v>
      </x:c>
      <x:c r="F72" t="str">
        <x:v>kg</x:v>
      </x:c>
      <x:c r="G72" s="28" t="n">
        <x:v>779</x:v>
      </x:c>
      <x:c r="H72" t="str">
        <x:v>Mar 26 2026</x:v>
      </x:c>
      <x:c r="I72" t="str">
        <x:v>Emergency gas price due to war</x:v>
      </x:c>
    </x:row>
    <x:row r="73">
      <x:c r="A73" t="str">
        <x:v>Gas</x:v>
      </x:c>
      <x:c r="B73" t="str">
        <x:v>5kg cylinder</x:v>
      </x:c>
      <x:c r="C73" t="str">
        <x:v>Standard</x:v>
      </x:c>
      <x:c r="D73" t="str">
        <x:v>5kg cylinder</x:v>
      </x:c>
      <x:c r="E73" s="28" t="n">
        <x:v>5</x:v>
      </x:c>
      <x:c r="F73" t="str">
        <x:v>kg</x:v>
      </x:c>
      <x:c r="G73" s="28" t="n">
        <x:v>1647</x:v>
      </x:c>
      <x:c r="H73" t="str">
        <x:v>Mar 26 2026</x:v>
      </x:c>
      <x:c r="I73" t="str">
        <x:v>Updated gas price due to war</x:v>
      </x:c>
    </x:row>
    <x:row r="74">
      <x:c r="A74" t="str">
        <x:v>Gas</x:v>
      </x:c>
      <x:c r="B74" t="str">
        <x:v>12.5kg cylinder</x:v>
      </x:c>
      <x:c r="C74" t="str">
        <x:v>Standard</x:v>
      </x:c>
      <x:c r="D74" t="str">
        <x:v>12.5kg cylinder</x:v>
      </x:c>
      <x:c r="E74" s="28" t="n">
        <x:v>12.5</x:v>
      </x:c>
      <x:c r="F74" t="str">
        <x:v>kg</x:v>
      </x:c>
      <x:c r="G74" s="28" t="n">
        <x:v>4065</x:v>
      </x:c>
      <x:c r="H74" t="str">
        <x:v>Mar 26 2026</x:v>
      </x:c>
      <x:c r="I74" t="str">
        <x:v>Updated gas price due to war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40" hidden="0" customWidth="1"/>
  </x:cols>
  <x:sheetData>
    <x:row r="1">
      <x:c r="A1" s="26" t="str">
        <x:v>Measure / Lock</x:v>
      </x:c>
      <x:c r="B1" s="26" t="str">
        <x:v>Value</x:v>
      </x:c>
      <x:c r="C1" s="26" t="str">
        <x:v>Unit / Rule</x:v>
      </x:c>
      <x:c r="D1" s="26" t="str">
        <x:v>Notes</x:v>
      </x:c>
    </x:row>
    <x:row r="2">
      <x:c r="A2" s="3" t="str">
        <x:v>Dough / water cup size</x:v>
      </x:c>
      <x:c r="B2" s="8" t="n">
        <x:v>182</x:v>
      </x:c>
      <x:c r="C2" s="3" t="str">
        <x:v>ml / g</x:v>
      </x:c>
      <x:c r="D2" s="3" t="str">
        <x:v>Same cup used in dough and some recipe costing</x:v>
      </x:c>
    </x:row>
    <x:row r="3">
      <x:c r="A3" s="3" t="str">
        <x:v>Milkshake serving jar capacity</x:v>
      </x:c>
      <x:c r="B3" s="8" t="n">
        <x:v>490</x:v>
      </x:c>
      <x:c r="C3" s="3" t="str">
        <x:v>ml / g water</x:v>
      </x:c>
      <x:c r="D3" s="3" t="str">
        <x:v>Half jar milk = 245ml</x:v>
      </x:c>
    </x:row>
    <x:row r="4">
      <x:c r="A4" s="3" t="str">
        <x:v>Large scoop size</x:v>
      </x:c>
      <x:c r="B4" s="8" t="n">
        <x:v>80</x:v>
      </x:c>
      <x:c r="C4" s="3" t="str">
        <x:v>ml</x:v>
      </x:c>
      <x:c r="D4" s="3" t="str">
        <x:v>Used in milkshake costing</x:v>
      </x:c>
    </x:row>
    <x:row r="5">
      <x:c r="A5" s="3" t="str">
        <x:v>1 chocolate cube</x:v>
      </x:c>
      <x:c r="B5" s="8" t="n">
        <x:v>16</x:v>
      </x:c>
      <x:c r="C5" s="3" t="str">
        <x:v>g</x:v>
      </x:c>
      <x:c r="D5" s="3" t="str">
        <x:v>Milkshake chocolate cube version</x:v>
      </x:c>
    </x:row>
    <x:row r="6">
      <x:c r="A6" s="3" t="str">
        <x:v>Sugar spoon for milkshake</x:v>
      </x:c>
      <x:c r="B6" s="8" t="n">
        <x:v>7.5</x:v>
      </x:c>
      <x:c r="C6" s="3" t="str">
        <x:v>g</x:v>
      </x:c>
      <x:c r="D6" s="3" t="str">
        <x:v>4 spoons = 30g</x:v>
      </x:c>
    </x:row>
    <x:row r="7">
      <x:c r="A7" s="3" t="str">
        <x:v>Pinch rule</x:v>
      </x:c>
      <x:c r="B7" s="8" t="n">
        <x:v>0.25</x:v>
      </x:c>
      <x:c r="C7" s="3" t="str">
        <x:v>tsp</x:v>
      </x:c>
      <x:c r="D7" s="3" t="str">
        <x:v>Used in latest pasta confirmations</x:v>
      </x:c>
    </x:row>
    <x:row r="8">
      <x:c r="A8" s="3" t="str">
        <x:v>1 tsp assumption</x:v>
      </x:c>
      <x:c r="B8" s="8" t="n">
        <x:v>5</x:v>
      </x:c>
      <x:c r="C8" s="3" t="str">
        <x:v>g</x:v>
      </x:c>
      <x:c r="D8" s="3" t="str">
        <x:v>Used in pasta / seasoning costing unless changed</x:v>
      </x:c>
    </x:row>
    <x:row r="9">
      <x:c r="A9" s="3" t="str">
        <x:v>1 tbsp assumption</x:v>
      </x:c>
      <x:c r="B9" s="8" t="n">
        <x:v>15</x:v>
      </x:c>
      <x:c r="C9" s="3" t="str">
        <x:v>ml / g equivalent</x:v>
      </x:c>
      <x:c r="D9" s="3" t="str">
        <x:v>Used mainly for oil and dry seasoning approximations</x:v>
      </x:c>
    </x:row>
    <x:row r="10">
      <x:c r="A10" s="3" t="str">
        <x:v>Pizza sauce 10 inch</x:v>
      </x:c>
      <x:c r="B10" s="8" t="n">
        <x:v>45</x:v>
      </x:c>
      <x:c r="C10" s="3" t="str">
        <x:v>g</x:v>
      </x:c>
      <x:c r="D10" s="3" t="str">
        <x:v>Locked standard</x:v>
      </x:c>
    </x:row>
    <x:row r="11">
      <x:c r="A11" s="3" t="str">
        <x:v>Pizza sauce 12 inch</x:v>
      </x:c>
      <x:c r="B11" s="8" t="n">
        <x:v>90</x:v>
      </x:c>
      <x:c r="C11" s="3" t="str">
        <x:v>g</x:v>
      </x:c>
      <x:c r="D11" s="3" t="str">
        <x:v>Locked standard</x:v>
      </x:c>
    </x:row>
    <x:row r="12">
      <x:c r="A12" s="3" t="str">
        <x:v>Mozzarella 10 inch pizza</x:v>
      </x:c>
      <x:c r="B12" s="8" t="n">
        <x:v>90</x:v>
      </x:c>
      <x:c r="C12" s="3" t="str">
        <x:v>g</x:v>
      </x:c>
      <x:c r="D12" s="3" t="str">
        <x:v>Locked standard</x:v>
      </x:c>
    </x:row>
    <x:row r="13">
      <x:c r="A13" s="3" t="str">
        <x:v>Mozzarella 12 inch pizza</x:v>
      </x:c>
      <x:c r="B13" s="8" t="n">
        <x:v>150</x:v>
      </x:c>
      <x:c r="C13" s="3" t="str">
        <x:v>g</x:v>
      </x:c>
      <x:c r="D13" s="3" t="str">
        <x:v>Locked standard</x:v>
      </x:c>
    </x:row>
    <x:row r="14">
      <x:c r="A14" s="3" t="str">
        <x:v>Extra cheese half</x:v>
      </x:c>
      <x:c r="B14" s="8" t="n">
        <x:v>30</x:v>
      </x:c>
      <x:c r="C14" s="3" t="str">
        <x:v>g</x:v>
      </x:c>
      <x:c r="D14" s="3" t="str">
        <x:v>Locked standard</x:v>
      </x:c>
    </x:row>
    <x:row r="15">
      <x:c r="A15" s="3" t="str">
        <x:v>Extra cheese full</x:v>
      </x:c>
      <x:c r="B15" s="8" t="n">
        <x:v>60</x:v>
      </x:c>
      <x:c r="C15" s="3" t="str">
        <x:v>g</x:v>
      </x:c>
      <x:c r="D15" s="3" t="str">
        <x:v>Locked standard</x:v>
      </x:c>
    </x:row>
    <x:row r="16">
      <x:c r="A16" s="3" t="str">
        <x:v>Onion 10 inch pizza</x:v>
      </x:c>
      <x:c r="B16" s="8" t="n">
        <x:v>8</x:v>
      </x:c>
      <x:c r="C16" s="3" t="str">
        <x:v>g</x:v>
      </x:c>
      <x:c r="D16" s="3" t="str">
        <x:v>Locked standard</x:v>
      </x:c>
    </x:row>
    <x:row r="17">
      <x:c r="A17" s="3" t="str">
        <x:v>Onion 12 inch pizza</x:v>
      </x:c>
      <x:c r="B17" s="8" t="n">
        <x:v>16</x:v>
      </x:c>
      <x:c r="C17" s="3" t="str">
        <x:v>g</x:v>
      </x:c>
      <x:c r="D17" s="3" t="str">
        <x:v>Locked standard</x:v>
      </x:c>
    </x:row>
    <x:row r="18">
      <x:c r="A18" s="3" t="str">
        <x:v>Bell pepper 10 inch pizza</x:v>
      </x:c>
      <x:c r="B18" s="8" t="n">
        <x:v>4</x:v>
      </x:c>
      <x:c r="C18" s="3" t="str">
        <x:v>g</x:v>
      </x:c>
      <x:c r="D18" s="3" t="str">
        <x:v>Locked standard</x:v>
      </x:c>
    </x:row>
    <x:row r="19">
      <x:c r="A19" s="3" t="str">
        <x:v>Bell pepper 12 inch pizza</x:v>
      </x:c>
      <x:c r="B19" s="8" t="n">
        <x:v>8</x:v>
      </x:c>
      <x:c r="C19" s="3" t="str">
        <x:v>g</x:v>
      </x:c>
      <x:c r="D19" s="3" t="str">
        <x:v>Locked standard</x:v>
      </x:c>
    </x:row>
    <x:row r="20">
      <x:c r="A20" s="3" t="str">
        <x:v>Tomato slices 10 inch pizza</x:v>
      </x:c>
      <x:c r="B20" s="8" t="n">
        <x:v>3</x:v>
      </x:c>
      <x:c r="C20" s="3" t="str">
        <x:v>slices</x:v>
      </x:c>
      <x:c r="D20" s="3" t="str">
        <x:v>Locked standard</x:v>
      </x:c>
    </x:row>
    <x:row r="21">
      <x:c r="A21" s="3" t="str">
        <x:v>Tomato slices 12 inch pizza</x:v>
      </x:c>
      <x:c r="B21" s="8" t="n">
        <x:v>4</x:v>
      </x:c>
      <x:c r="C21" s="3" t="str">
        <x:v>slices</x:v>
      </x:c>
      <x:c r="D21" s="3" t="str">
        <x:v>Locked standard</x:v>
      </x:c>
    </x:row>
    <x:row r="22">
      <x:c r="A22" s="3" t="str">
        <x:v>Chicken topping 10 inch pizza</x:v>
      </x:c>
      <x:c r="B22" s="8" t="n">
        <x:v>30</x:v>
      </x:c>
      <x:c r="C22" s="3" t="str">
        <x:v>g</x:v>
      </x:c>
      <x:c r="D22" s="3" t="str">
        <x:v>Locked standard</x:v>
      </x:c>
    </x:row>
    <x:row r="23">
      <x:c r="A23" s="3" t="str">
        <x:v>Chicken topping 12 inch pizza</x:v>
      </x:c>
      <x:c r="B23" s="8" t="n">
        <x:v>50</x:v>
      </x:c>
      <x:c r="C23" s="3" t="str">
        <x:v>g</x:v>
      </x:c>
      <x:c r="D23" s="3" t="str">
        <x:v>Locked standard</x:v>
      </x:c>
    </x:row>
    <x:row r="24">
      <x:c r="A24" s="3" t="str">
        <x:v>Crispy chicken piece raw weight</x:v>
      </x:c>
      <x:c r="B24" s="8" t="n">
        <x:v>80</x:v>
      </x:c>
      <x:c r="C24" s="3" t="str">
        <x:v>g</x:v>
      </x:c>
      <x:c r="D24" s="3" t="str">
        <x:v>Latest locked basis</x:v>
      </x:c>
    </x:row>
    <x:row r="25">
      <x:c r="A25" s="3" t="str">
        <x:v>Crispy chicken breading yield</x:v>
      </x:c>
      <x:c r="B25" s="8" t="n">
        <x:v>2</x:v>
      </x:c>
      <x:c r="C25" s="3" t="str">
        <x:v>kg chicken</x:v>
      </x:c>
      <x:c r="D25" s="3" t="str">
        <x:v>Latest locked basis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8" hidden="0" customWidth="1"/>
    <x:col min="5" max="5" width="12" hidden="0" customWidth="1"/>
    <x:col min="6" max="6" width="24" hidden="0" customWidth="1"/>
  </x:cols>
  <x:sheetData>
    <x:row r="1">
      <x:c r="A1" s="32" t="str">
        <x:v>Gas Prices - March 2026 Update</x:v>
      </x:c>
      <x:c r="B1" s="32"/>
      <x:c r="C1" s="32"/>
      <x:c r="D1" s="32"/>
      <x:c r="E1" s="32"/>
      <x:c r="F1" s="32"/>
    </x:row>
    <x:row r="2">
      <x:c r="A2" s="36" t="str">
        <x:v>Cylinder Size</x:v>
      </x:c>
      <x:c r="B2" s="36" t="str">
        <x:v>Price (LKR)</x:v>
      </x:c>
      <x:c r="C2" s="36" t="str">
        <x:v>Cost per kg (LKR)</x:v>
      </x:c>
      <x:c r="D2" s="36" t="str">
        <x:v>Use Case</x:v>
      </x:c>
      <x:c r="E2" s="36" t="str">
        <x:v>Status</x:v>
      </x:c>
      <x:c r="F2" s="36" t="str">
        <x:v>Notes</x:v>
      </x:c>
    </x:row>
    <x:row r="3">
      <x:c r="A3" s="3" t="str">
        <x:v>2.3 kg</x:v>
      </x:c>
      <x:c r="B3" s="27" t="n">
        <x:v>779</x:v>
      </x:c>
      <x:c r="C3" s="27" t="n">
        <x:v>338.69565217391306</x:v>
      </x:c>
      <x:c r="D3" s="3" t="str">
        <x:v>Emergency only</x:v>
      </x:c>
      <x:c r="E3" s="3" t="str">
        <x:v>Confirmed</x:v>
      </x:c>
      <x:c r="F3" s="3" t="str">
        <x:v>Highest cost per kg</x:v>
      </x:c>
    </x:row>
    <x:row r="4">
      <x:c r="A4" s="3" t="str">
        <x:v>5 kg</x:v>
      </x:c>
      <x:c r="B4" s="27" t="n">
        <x:v>1647</x:v>
      </x:c>
      <x:c r="C4" s="27" t="n">
        <x:v>329.4</x:v>
      </x:c>
      <x:c r="D4" s="3" t="str">
        <x:v>Normal backup / medium use</x:v>
      </x:c>
      <x:c r="E4" s="3" t="str">
        <x:v>Confirmed</x:v>
      </x:c>
      <x:c r="F4" s="3" t="str">
        <x:v>Close to 12.5kg cost</x:v>
      </x:c>
    </x:row>
    <x:row r="5">
      <x:c r="A5" s="3" t="str">
        <x:v>12.5 kg</x:v>
      </x:c>
      <x:c r="B5" s="27" t="n">
        <x:v>4065</x:v>
      </x:c>
      <x:c r="C5" s="27" t="n">
        <x:v>325.2</x:v>
      </x:c>
      <x:c r="D5" s="3" t="str">
        <x:v>Best value</x:v>
      </x:c>
      <x:c r="E5" s="3" t="str">
        <x:v>Confirmed</x:v>
      </x:c>
      <x:c r="F5" s="3" t="str">
        <x:v>Cheapest cost per kg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15c325572b744d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6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8" hidden="0" customWidth="1"/>
    <x:col min="10" max="10" width="12" hidden="0" customWidth="1"/>
  </x:cols>
  <x:sheetData>
    <x:row r="1">
      <x:c r="A1" s="40" t="str">
        <x:v>Cheesy Beez Updated Price List - March 2026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>
      <x:c r="A2" s="45" t="str">
        <x:v>Category</x:v>
      </x:c>
      <x:c r="B2" s="45" t="str">
        <x:v>Item</x:v>
      </x:c>
      <x:c r="C2" s="45" t="str">
        <x:v>Brand / Specification</x:v>
      </x:c>
      <x:c r="D2" s="45" t="str">
        <x:v>Pack Size</x:v>
      </x:c>
      <x:c r="E2" s="45" t="str">
        <x:v>Pack Qty</x:v>
      </x:c>
      <x:c r="F2" s="45" t="str">
        <x:v>Pack Unit</x:v>
      </x:c>
      <x:c r="G2" s="45" t="str">
        <x:v>Price (LKR)</x:v>
      </x:c>
      <x:c r="H2" s="45" t="str">
        <x:v>Cost per Unit</x:v>
      </x:c>
      <x:c r="I2" s="45" t="str">
        <x:v>Supplier</x:v>
      </x:c>
      <x:c r="J2" s="45" t="str">
        <x:v>Status</x:v>
      </x:c>
    </x:row>
    <x:row r="3">
      <x:c r="A3" s="3" t="str">
        <x:v>Flour</x:v>
      </x:c>
      <x:c r="B3" s="3" t="str">
        <x:v>Pizza Flour</x:v>
      </x:c>
      <x:c r="C3" s="3" t="str">
        <x:v>Prima Top Flour</x:v>
      </x:c>
      <x:c r="D3" s="3" t="str">
        <x:v>25kg bag</x:v>
      </x:c>
      <x:c r="E3" s="3" t="n">
        <x:v>25</x:v>
      </x:c>
      <x:c r="F3" s="3" t="str">
        <x:v>kg</x:v>
      </x:c>
      <x:c r="G3" s="27" t="n">
        <x:v>6400</x:v>
      </x:c>
      <x:c r="H3" s="27" t="n">
        <x:v>256</x:v>
      </x:c>
      <x:c r="I3" s="3" t="str">
        <x:v>Prima / David Stores</x:v>
      </x:c>
      <x:c r="J3" s="3" t="str">
        <x:v>Confirmed</x:v>
      </x:c>
    </x:row>
    <x:row r="4">
      <x:c r="A4" s="3" t="str">
        <x:v>Flour</x:v>
      </x:c>
      <x:c r="B4" s="3" t="str">
        <x:v>A/P Flour</x:v>
      </x:c>
      <x:c r="C4" s="3" t="str">
        <x:v>Wheat flour for dusting</x:v>
      </x:c>
      <x:c r="D4" s="3" t="str">
        <x:v>5kg pack</x:v>
      </x:c>
      <x:c r="E4" s="3" t="n">
        <x:v>5</x:v>
      </x:c>
      <x:c r="F4" s="3" t="str">
        <x:v>kg</x:v>
      </x:c>
      <x:c r="G4" s="27" t="n">
        <x:v>900</x:v>
      </x:c>
      <x:c r="H4" s="27" t="n">
        <x:v>180</x:v>
      </x:c>
      <x:c r="I4" s="3" t="str">
        <x:v>Best Buy / SMM</x:v>
      </x:c>
      <x:c r="J4" s="3" t="str">
        <x:v>Confirmed</x:v>
      </x:c>
    </x:row>
    <x:row r="5">
      <x:c r="A5" s="3" t="str">
        <x:v>Sweetener</x:v>
      </x:c>
      <x:c r="B5" s="3" t="str">
        <x:v>Sugar</x:v>
      </x:c>
      <x:c r="C5" s="3" t="str">
        <x:v>White sugar</x:v>
      </x:c>
      <x:c r="D5" s="3" t="str">
        <x:v>1kg pack</x:v>
      </x:c>
      <x:c r="E5" s="3" t="n">
        <x:v>1</x:v>
      </x:c>
      <x:c r="F5" s="3" t="str">
        <x:v>kg</x:v>
      </x:c>
      <x:c r="G5" s="27" t="n">
        <x:v>220</x:v>
      </x:c>
      <x:c r="H5" s="27" t="n">
        <x:v>220</x:v>
      </x:c>
      <x:c r="I5" s="3" t="str">
        <x:v>Best Buy</x:v>
      </x:c>
      <x:c r="J5" s="3" t="str">
        <x:v>Confirmed</x:v>
      </x:c>
    </x:row>
    <x:row r="6">
      <x:c r="A6" s="3" t="str">
        <x:v>Seasoning</x:v>
      </x:c>
      <x:c r="B6" s="3" t="str">
        <x:v>Salt</x:v>
      </x:c>
      <x:c r="C6" s="3" t="str">
        <x:v>Table salt</x:v>
      </x:c>
      <x:c r="D6" s="3" t="str">
        <x:v>400g pack</x:v>
      </x:c>
      <x:c r="E6" s="3" t="n">
        <x:v>400</x:v>
      </x:c>
      <x:c r="F6" s="3" t="str">
        <x:v>g</x:v>
      </x:c>
      <x:c r="G6" s="27" t="n">
        <x:v>155</x:v>
      </x:c>
      <x:c r="H6" s="27" t="n">
        <x:v>0.3875</x:v>
      </x:c>
      <x:c r="I6" s="3" t="str">
        <x:v>Best Buy / SMM</x:v>
      </x:c>
      <x:c r="J6" s="3" t="str">
        <x:v>Confirmed</x:v>
      </x:c>
    </x:row>
    <x:row r="7">
      <x:c r="A7" s="3" t="str">
        <x:v>Yeast</x:v>
      </x:c>
      <x:c r="B7" s="3" t="str">
        <x:v>Instant yeast</x:v>
      </x:c>
      <x:c r="C7" s="3" t="str">
        <x:v>Mayuripan</x:v>
      </x:c>
      <x:c r="D7" s="3" t="str">
        <x:v>12g x 5 sachets</x:v>
      </x:c>
      <x:c r="E7" s="3" t="n">
        <x:v>60</x:v>
      </x:c>
      <x:c r="F7" s="3" t="str">
        <x:v>g</x:v>
      </x:c>
      <x:c r="G7" s="27" t="n">
        <x:v>460</x:v>
      </x:c>
      <x:c r="H7" s="27" t="n">
        <x:v>7.666666666666667</x:v>
      </x:c>
      <x:c r="I7" s="3" t="str">
        <x:v>Ajantha</x:v>
      </x:c>
      <x:c r="J7" s="3" t="str">
        <x:v>Confirmed</x:v>
      </x:c>
    </x:row>
    <x:row r="8">
      <x:c r="A8" s="3" t="str">
        <x:v>Cheese</x:v>
      </x:c>
      <x:c r="B8" s="3" t="str">
        <x:v>Mozzarella</x:v>
      </x:c>
      <x:c r="C8" s="3" t="str">
        <x:v>Prabhat / Eastwest</x:v>
      </x:c>
      <x:c r="D8" s="3" t="str">
        <x:v>2kg block</x:v>
      </x:c>
      <x:c r="E8" s="3" t="n">
        <x:v>2</x:v>
      </x:c>
      <x:c r="F8" s="3" t="str">
        <x:v>kg</x:v>
      </x:c>
      <x:c r="G8" s="27" t="n">
        <x:v>5100</x:v>
      </x:c>
      <x:c r="H8" s="27" t="n">
        <x:v>2550</x:v>
      </x:c>
      <x:c r="I8" s="3" t="str">
        <x:v>Eastwest</x:v>
      </x:c>
      <x:c r="J8" s="3" t="str">
        <x:v>Confirmed</x:v>
      </x:c>
    </x:row>
    <x:row r="9">
      <x:c r="A9" s="3" t="str">
        <x:v>Cheese</x:v>
      </x:c>
      <x:c r="B9" s="3" t="str">
        <x:v>Mozzarella</x:v>
      </x:c>
      <x:c r="C9" s="3" t="str">
        <x:v>Margarita</x:v>
      </x:c>
      <x:c r="D9" s="3" t="str">
        <x:v>1kg block</x:v>
      </x:c>
      <x:c r="E9" s="3" t="n">
        <x:v>1</x:v>
      </x:c>
      <x:c r="F9" s="3" t="str">
        <x:v>kg</x:v>
      </x:c>
      <x:c r="G9" s="27" t="n">
        <x:v>2900</x:v>
      </x:c>
      <x:c r="H9" s="27" t="n">
        <x:v>2900</x:v>
      </x:c>
      <x:c r="I9" s="3" t="str">
        <x:v>Margarita factory</x:v>
      </x:c>
      <x:c r="J9" s="3" t="str">
        <x:v>Confirmed</x:v>
      </x:c>
    </x:row>
    <x:row r="10">
      <x:c r="A10" s="3" t="str">
        <x:v>Cheese</x:v>
      </x:c>
      <x:c r="B10" s="3" t="str">
        <x:v>Mozzarella</x:v>
      </x:c>
      <x:c r="C10" s="3" t="str">
        <x:v>Ciao</x:v>
      </x:c>
      <x:c r="D10" s="3" t="str">
        <x:v>2kg block</x:v>
      </x:c>
      <x:c r="E10" s="3" t="n">
        <x:v>2</x:v>
      </x:c>
      <x:c r="F10" s="3" t="str">
        <x:v>kg</x:v>
      </x:c>
      <x:c r="G10" s="27" t="n">
        <x:v>5900</x:v>
      </x:c>
      <x:c r="H10" s="27" t="n">
        <x:v>2950</x:v>
      </x:c>
      <x:c r="I10" s="3" t="str">
        <x:v>Ciao</x:v>
      </x:c>
      <x:c r="J10" s="3" t="str">
        <x:v>Confirmed</x:v>
      </x:c>
    </x:row>
    <x:row r="11">
      <x:c r="A11" s="3" t="str">
        <x:v>Tomato Base</x:v>
      </x:c>
      <x:c r="B11" s="3" t="str">
        <x:v>Peeled Tomato / Sugo</x:v>
      </x:c>
      <x:c r="C11" s="3" t="str">
        <x:v>Ajantha</x:v>
      </x:c>
      <x:c r="D11" s="3" t="str">
        <x:v>2550g can</x:v>
      </x:c>
      <x:c r="E11" s="3" t="n">
        <x:v>2550</x:v>
      </x:c>
      <x:c r="F11" s="3" t="str">
        <x:v>g</x:v>
      </x:c>
      <x:c r="G11" s="27" t="n">
        <x:v>2850</x:v>
      </x:c>
      <x:c r="H11" s="27" t="n">
        <x:v>1.1176470588235294</x:v>
      </x:c>
      <x:c r="I11" s="3" t="str">
        <x:v>Ajantha</x:v>
      </x:c>
      <x:c r="J11" s="3" t="str">
        <x:v>Confirmed</x:v>
      </x:c>
    </x:row>
    <x:row r="12">
      <x:c r="A12" s="3" t="str">
        <x:v>Tomato Base</x:v>
      </x:c>
      <x:c r="B12" s="3" t="str">
        <x:v>Tomato Paste</x:v>
      </x:c>
      <x:c r="C12" s="3" t="str">
        <x:v>Valle del Sole</x:v>
      </x:c>
      <x:c r="D12" s="3" t="str">
        <x:v>2200g can</x:v>
      </x:c>
      <x:c r="E12" s="3" t="n">
        <x:v>2200</x:v>
      </x:c>
      <x:c r="F12" s="3" t="str">
        <x:v>g</x:v>
      </x:c>
      <x:c r="G12" s="27" t="n">
        <x:v>4012</x:v>
      </x:c>
      <x:c r="H12" s="27" t="n">
        <x:v>1.8236363636363637</x:v>
      </x:c>
      <x:c r="I12" s="3" t="str">
        <x:v>Eastwest</x:v>
      </x:c>
      <x:c r="J12" s="3" t="str">
        <x:v>Confirmed</x:v>
      </x:c>
    </x:row>
    <x:row r="13">
      <x:c r="A13" s="3" t="str">
        <x:v>Protein</x:v>
      </x:c>
      <x:c r="B13" s="3" t="str">
        <x:v>Chicken</x:v>
      </x:c>
      <x:c r="C13" s="3" t="str">
        <x:v>Raw with skin and bone</x:v>
      </x:c>
      <x:c r="D13" s="3" t="str">
        <x:v>1kg</x:v>
      </x:c>
      <x:c r="E13" s="3" t="n">
        <x:v>1</x:v>
      </x:c>
      <x:c r="F13" s="3" t="str">
        <x:v>kg</x:v>
      </x:c>
      <x:c r="G13" s="27" t="n">
        <x:v>1040</x:v>
      </x:c>
      <x:c r="H13" s="27" t="n">
        <x:v>1040</x:v>
      </x:c>
      <x:c r="I13" s="3" t="str">
        <x:v>Local chicken supplier</x:v>
      </x:c>
      <x:c r="J13" s="3" t="str">
        <x:v>Confirmed</x:v>
      </x:c>
    </x:row>
    <x:row r="14">
      <x:c r="A14" s="3" t="str">
        <x:v>Seafood</x:v>
      </x:c>
      <x:c r="B14" s="3" t="str">
        <x:v>Prawns</x:v>
      </x:c>
      <x:c r="C14" s="3" t="str">
        <x:v>~35 pcs per kg</x:v>
      </x:c>
      <x:c r="D14" s="3" t="str">
        <x:v>1kg</x:v>
      </x:c>
      <x:c r="E14" s="3" t="n">
        <x:v>1</x:v>
      </x:c>
      <x:c r="F14" s="3" t="str">
        <x:v>kg</x:v>
      </x:c>
      <x:c r="G14" s="27" t="n">
        <x:v>3200</x:v>
      </x:c>
      <x:c r="H14" s="27" t="n">
        <x:v>3200</x:v>
      </x:c>
      <x:c r="I14" s="3" t="str">
        <x:v>Pambala village</x:v>
      </x:c>
      <x:c r="J14" s="3" t="str">
        <x:v>Confirmed</x:v>
      </x:c>
    </x:row>
    <x:row r="15">
      <x:c r="A15" s="3" t="str">
        <x:v>Seafood</x:v>
      </x:c>
      <x:c r="B15" s="3" t="str">
        <x:v>Tuna</x:v>
      </x:c>
      <x:c r="C15" s="3" t="str">
        <x:v>Tonno can</x:v>
      </x:c>
      <x:c r="D15" s="3" t="str">
        <x:v>80g can</x:v>
      </x:c>
      <x:c r="E15" s="3" t="n">
        <x:v>80</x:v>
      </x:c>
      <x:c r="F15" s="3" t="str">
        <x:v>g</x:v>
      </x:c>
      <x:c r="G15" s="27" t="n">
        <x:v>500</x:v>
      </x:c>
      <x:c r="H15" s="27" t="n">
        <x:v>6.25</x:v>
      </x:c>
      <x:c r="I15" s="3" t="str">
        <x:v>Mallika Italy shop</x:v>
      </x:c>
      <x:c r="J15" s="3" t="str">
        <x:v>Confirmed</x:v>
      </x:c>
    </x:row>
    <x:row r="16">
      <x:c r="A16" s="3" t="str">
        <x:v>Protein</x:v>
      </x:c>
      <x:c r="B16" s="3" t="str">
        <x:v>Bacon Ends</x:v>
      </x:c>
      <x:c r="C16" s="3" t="str">
        <x:v>Elephant House</x:v>
      </x:c>
      <x:c r="D16" s="3" t="str">
        <x:v>500g pack</x:v>
      </x:c>
      <x:c r="E16" s="3" t="n">
        <x:v>500</x:v>
      </x:c>
      <x:c r="F16" s="3" t="str">
        <x:v>g</x:v>
      </x:c>
      <x:c r="G16" s="27" t="n">
        <x:v>2300</x:v>
      </x:c>
      <x:c r="H16" s="27" t="n">
        <x:v>4.6</x:v>
      </x:c>
      <x:c r="I16" s="3" t="str">
        <x:v>Keells Marawila</x:v>
      </x:c>
      <x:c r="J16" s="3" t="str">
        <x:v>Confirmed</x:v>
      </x:c>
    </x:row>
    <x:row r="17">
      <x:c r="A17" s="3" t="str">
        <x:v>Sausage</x:v>
      </x:c>
      <x:c r="B17" s="3" t="str">
        <x:v>Mini Sausages</x:v>
      </x:c>
      <x:c r="C17" s="3" t="str">
        <x:v>Maxies Cheese &amp; Onion</x:v>
      </x:c>
      <x:c r="D17" s="3" t="str">
        <x:v>1kg pack</x:v>
      </x:c>
      <x:c r="E17" s="3" t="n">
        <x:v>1</x:v>
      </x:c>
      <x:c r="F17" s="3" t="str">
        <x:v>kg</x:v>
      </x:c>
      <x:c r="G17" s="27" t="n">
        <x:v>1510</x:v>
      </x:c>
      <x:c r="H17" s="27" t="n">
        <x:v>1510</x:v>
      </x:c>
      <x:c r="I17" s="3" t="str">
        <x:v>Maxies</x:v>
      </x:c>
      <x:c r="J17" s="3" t="str">
        <x:v>Confirmed</x:v>
      </x:c>
    </x:row>
    <x:row r="18">
      <x:c r="A18" s="3" t="str">
        <x:v>Sausage</x:v>
      </x:c>
      <x:c r="B18" s="3" t="str">
        <x:v>Jumbo Sausage</x:v>
      </x:c>
      <x:c r="C18" s="3" t="str">
        <x:v>Pussallawa</x:v>
      </x:c>
      <x:c r="D18" s="3" t="str">
        <x:v>1kg pack</x:v>
      </x:c>
      <x:c r="E18" s="3" t="n">
        <x:v>1</x:v>
      </x:c>
      <x:c r="F18" s="3" t="str">
        <x:v>kg</x:v>
      </x:c>
      <x:c r="G18" s="27" t="n">
        <x:v>1300</x:v>
      </x:c>
      <x:c r="H18" s="27" t="n">
        <x:v>1300</x:v>
      </x:c>
      <x:c r="I18" s="3" t="str">
        <x:v>Ajantha / RC Super</x:v>
      </x:c>
      <x:c r="J18" s="3" t="str">
        <x:v>Confirmed</x:v>
      </x:c>
    </x:row>
    <x:row r="19">
      <x:c r="A19" s="3" t="str">
        <x:v>Sausage</x:v>
      </x:c>
      <x:c r="B19" s="3" t="str">
        <x:v>Jumbo Sausage</x:v>
      </x:c>
      <x:c r="C19" s="3" t="str">
        <x:v>Keells Cheese &amp; Onion</x:v>
      </x:c>
      <x:c r="D19" s="3" t="str">
        <x:v>14 pcs pack</x:v>
      </x:c>
      <x:c r="E19" s="3" t="n">
        <x:v>14</x:v>
      </x:c>
      <x:c r="F19" s="3" t="str">
        <x:v>pcs</x:v>
      </x:c>
      <x:c r="G19" s="27" t="n">
        <x:v>2156</x:v>
      </x:c>
      <x:c r="H19" s="27" t="n">
        <x:v>154</x:v>
      </x:c>
      <x:c r="I19" s="3" t="str">
        <x:v>Keells Marawila</x:v>
      </x:c>
      <x:c r="J19" s="3" t="str">
        <x:v>Confirmed</x:v>
      </x:c>
    </x:row>
    <x:row r="20">
      <x:c r="A20" s="3" t="str">
        <x:v>Patty</x:v>
      </x:c>
      <x:c r="B20" s="3" t="str">
        <x:v>Chicken Patty</x:v>
      </x:c>
      <x:c r="C20" s="3" t="str">
        <x:v>Maxies</x:v>
      </x:c>
      <x:c r="D20" s="3" t="str">
        <x:v>30 pcs pack</x:v>
      </x:c>
      <x:c r="E20" s="3" t="n">
        <x:v>30</x:v>
      </x:c>
      <x:c r="F20" s="3" t="str">
        <x:v>pcs</x:v>
      </x:c>
      <x:c r="G20" s="27" t="n">
        <x:v>1950</x:v>
      </x:c>
      <x:c r="H20" s="27" t="n">
        <x:v>65</x:v>
      </x:c>
      <x:c r="I20" s="3" t="str">
        <x:v>Maxies</x:v>
      </x:c>
      <x:c r="J20" s="3" t="str">
        <x:v>Confirmed</x:v>
      </x:c>
    </x:row>
    <x:row r="21">
      <x:c r="A21" s="3" t="str">
        <x:v>Patty</x:v>
      </x:c>
      <x:c r="B21" s="3" t="str">
        <x:v>Fish Cake</x:v>
      </x:c>
      <x:c r="C21" s="3" t="str">
        <x:v>Keells</x:v>
      </x:c>
      <x:c r="D21" s="3" t="str">
        <x:v>24 pcs / 1.2kg pack</x:v>
      </x:c>
      <x:c r="E21" s="3" t="n">
        <x:v>24</x:v>
      </x:c>
      <x:c r="F21" s="3" t="str">
        <x:v>pcs</x:v>
      </x:c>
      <x:c r="G21" s="27" t="n">
        <x:v>2065</x:v>
      </x:c>
      <x:c r="H21" s="27" t="n">
        <x:v>86.04166666666667</x:v>
      </x:c>
      <x:c r="I21" s="3" t="str">
        <x:v>Keells</x:v>
      </x:c>
      <x:c r="J21" s="3" t="str">
        <x:v>Confirmed</x:v>
      </x:c>
    </x:row>
    <x:row r="22">
      <x:c r="A22" s="3" t="str">
        <x:v>Eggs</x:v>
      </x:c>
      <x:c r="B22" s="3" t="str">
        <x:v>Eggs</x:v>
      </x:c>
      <x:c r="C22" s="3" t="str">
        <x:v>Chicken eggs</x:v>
      </x:c>
      <x:c r="D22" s="3" t="str">
        <x:v>10 eggs working pack</x:v>
      </x:c>
      <x:c r="E22" s="3" t="n">
        <x:v>10</x:v>
      </x:c>
      <x:c r="F22" s="3" t="str">
        <x:v>pcs</x:v>
      </x:c>
      <x:c r="G22" s="27" t="n">
        <x:v>360</x:v>
      </x:c>
      <x:c r="H22" s="27" t="n">
        <x:v>36</x:v>
      </x:c>
      <x:c r="I22" s="3" t="str">
        <x:v>Local shops</x:v>
      </x:c>
      <x:c r="J22" s="3" t="str">
        <x:v>Working</x:v>
      </x:c>
    </x:row>
    <x:row r="23">
      <x:c r="A23" s="3" t="str">
        <x:v>Dairy</x:v>
      </x:c>
      <x:c r="B23" s="3" t="str">
        <x:v>Butter</x:v>
      </x:c>
      <x:c r="C23" s="3" t="str">
        <x:v>Ciao</x:v>
      </x:c>
      <x:c r="D23" s="3" t="str">
        <x:v>500g pack</x:v>
      </x:c>
      <x:c r="E23" s="3" t="n">
        <x:v>500</x:v>
      </x:c>
      <x:c r="F23" s="3" t="str">
        <x:v>g</x:v>
      </x:c>
      <x:c r="G23" s="27" t="n">
        <x:v>1550</x:v>
      </x:c>
      <x:c r="H23" s="27" t="n">
        <x:v>3.1</x:v>
      </x:c>
      <x:c r="I23" s="3" t="str">
        <x:v>Ciao</x:v>
      </x:c>
      <x:c r="J23" s="3" t="str">
        <x:v>Confirmed</x:v>
      </x:c>
    </x:row>
    <x:row r="24">
      <x:c r="A24" s="3" t="str">
        <x:v>Oil</x:v>
      </x:c>
      <x:c r="B24" s="3" t="str">
        <x:v>Sunflower Oil</x:v>
      </x:c>
      <x:c r="C24" s="3" t="str">
        <x:v>Cooking oil</x:v>
      </x:c>
      <x:c r="D24" s="3" t="str">
        <x:v>3kg pack</x:v>
      </x:c>
      <x:c r="E24" s="3" t="n">
        <x:v>3</x:v>
      </x:c>
      <x:c r="F24" s="3" t="str">
        <x:v>kg</x:v>
      </x:c>
      <x:c r="G24" s="27" t="n">
        <x:v>1520</x:v>
      </x:c>
      <x:c r="H24" s="27" t="n">
        <x:v>506.6666666666667</x:v>
      </x:c>
      <x:c r="I24" s="3" t="str">
        <x:v>SMM</x:v>
      </x:c>
      <x:c r="J24" s="3" t="str">
        <x:v>Confirmed</x:v>
      </x:c>
    </x:row>
    <x:row r="25">
      <x:c r="A25" s="3" t="str">
        <x:v>Oil</x:v>
      </x:c>
      <x:c r="B25" s="3" t="str">
        <x:v>Palm Oil</x:v>
      </x:c>
      <x:c r="C25" s="3" t="str">
        <x:v>Cooking oil</x:v>
      </x:c>
      <x:c r="D25" s="3" t="str">
        <x:v>3.78L pack</x:v>
      </x:c>
      <x:c r="E25" s="3" t="n">
        <x:v>3.78</x:v>
      </x:c>
      <x:c r="F25" s="3" t="str">
        <x:v>L</x:v>
      </x:c>
      <x:c r="G25" s="27" t="n">
        <x:v>3300</x:v>
      </x:c>
      <x:c r="H25" s="27" t="n">
        <x:v>873.015873015873</x:v>
      </x:c>
      <x:c r="I25" s="3" t="str">
        <x:v>Ajantha</x:v>
      </x:c>
      <x:c r="J25" s="3" t="str">
        <x:v>Confirmed</x:v>
      </x:c>
    </x:row>
    <x:row r="26">
      <x:c r="A26" s="3" t="str">
        <x:v>Vegetable</x:v>
      </x:c>
      <x:c r="B26" s="3" t="str">
        <x:v>Onion</x:v>
      </x:c>
      <x:c r="C26" s="3" t="str">
        <x:v>Fresh onion</x:v>
      </x:c>
      <x:c r="D26" s="3" t="str">
        <x:v>Example working qty</x:v>
      </x:c>
      <x:c r="E26" s="3" t="n">
        <x:v>1</x:v>
      </x:c>
      <x:c r="F26" s="3" t="str">
        <x:v>kg</x:v>
      </x:c>
      <x:c r="G26" s="27" t="n">
        <x:v>249.2753623188406</x:v>
      </x:c>
      <x:c r="H26" s="27" t="n">
        <x:v>249.2753623188406</x:v>
      </x:c>
      <x:c r="I26" s="3" t="str">
        <x:v>Nimmi veg shop</x:v>
      </x:c>
      <x:c r="J26" s="3" t="str">
        <x:v>Working</x:v>
      </x:c>
    </x:row>
    <x:row r="27">
      <x:c r="A27" s="3" t="str">
        <x:v>Vegetable</x:v>
      </x:c>
      <x:c r="B27" s="3" t="str">
        <x:v>Tomato</x:v>
      </x:c>
      <x:c r="C27" s="3" t="str">
        <x:v>Fresh tomato</x:v>
      </x:c>
      <x:c r="D27" s="3" t="str">
        <x:v>Example working qty</x:v>
      </x:c>
      <x:c r="E27" s="3" t="n">
        <x:v>1</x:v>
      </x:c>
      <x:c r="F27" s="3" t="str">
        <x:v>kg</x:v>
      </x:c>
      <x:c r="G27" s="27" t="n">
        <x:v>600</x:v>
      </x:c>
      <x:c r="H27" s="27" t="n">
        <x:v>600</x:v>
      </x:c>
      <x:c r="I27" s="3" t="str">
        <x:v>Nimmi veg shop</x:v>
      </x:c>
      <x:c r="J27" s="3" t="str">
        <x:v>Working</x:v>
      </x:c>
    </x:row>
    <x:row r="28">
      <x:c r="A28" s="3" t="str">
        <x:v>Vegetable</x:v>
      </x:c>
      <x:c r="B28" s="3" t="str">
        <x:v>Lettuce</x:v>
      </x:c>
      <x:c r="C28" s="3" t="str">
        <x:v>Fresh lettuce</x:v>
      </x:c>
      <x:c r="D28" s="3" t="str">
        <x:v>Example working qty</x:v>
      </x:c>
      <x:c r="E28" s="3" t="n">
        <x:v>1</x:v>
      </x:c>
      <x:c r="F28" s="3" t="str">
        <x:v>kg</x:v>
      </x:c>
      <x:c r="G28" s="27" t="n">
        <x:v>700</x:v>
      </x:c>
      <x:c r="H28" s="27" t="n">
        <x:v>700</x:v>
      </x:c>
      <x:c r="I28" s="3" t="str">
        <x:v>Nimmi veg shop</x:v>
      </x:c>
      <x:c r="J28" s="3" t="str">
        <x:v>Working</x:v>
      </x:c>
    </x:row>
    <x:row r="29">
      <x:c r="A29" s="3" t="str">
        <x:v>Vegetable</x:v>
      </x:c>
      <x:c r="B29" s="3" t="str">
        <x:v>Bell Pepper</x:v>
      </x:c>
      <x:c r="C29" s="3" t="str">
        <x:v>Fresh bell pepper</x:v>
      </x:c>
      <x:c r="D29" s="3" t="str">
        <x:v>Example working qty</x:v>
      </x:c>
      <x:c r="E29" s="3" t="n">
        <x:v>1</x:v>
      </x:c>
      <x:c r="F29" s="3" t="str">
        <x:v>kg</x:v>
      </x:c>
      <x:c r="G29" s="27" t="n">
        <x:v>1378.698224852071</x:v>
      </x:c>
      <x:c r="H29" s="27" t="n">
        <x:v>1378.698224852071</x:v>
      </x:c>
      <x:c r="I29" s="3" t="str">
        <x:v>Nimmi veg shop</x:v>
      </x:c>
      <x:c r="J29" s="3" t="str">
        <x:v>Working</x:v>
      </x:c>
    </x:row>
    <x:row r="30">
      <x:c r="A30" s="3" t="str">
        <x:v>Vegetable</x:v>
      </x:c>
      <x:c r="B30" s="3" t="str">
        <x:v>Mushrooms</x:v>
      </x:c>
      <x:c r="C30" s="3" t="str">
        <x:v>Oyster mushroom</x:v>
      </x:c>
      <x:c r="D30" s="3" t="str">
        <x:v>200g pack</x:v>
      </x:c>
      <x:c r="E30" s="3" t="n">
        <x:v>200</x:v>
      </x:c>
      <x:c r="F30" s="3" t="str">
        <x:v>g</x:v>
      </x:c>
      <x:c r="G30" s="27" t="n">
        <x:v>150</x:v>
      </x:c>
      <x:c r="H30" s="27" t="n">
        <x:v>0.75</x:v>
      </x:c>
      <x:c r="I30" s="3" t="str">
        <x:v>Local veg shop</x:v>
      </x:c>
      <x:c r="J30" s="3" t="str">
        <x:v>Confirmed</x:v>
      </x:c>
    </x:row>
    <x:row r="31">
      <x:c r="A31" s="3" t="str">
        <x:v>Vegetable</x:v>
      </x:c>
      <x:c r="B31" s="3" t="str">
        <x:v>Corn Cob</x:v>
      </x:c>
      <x:c r="C31" s="3" t="str">
        <x:v>Fresh corn</x:v>
      </x:c>
      <x:c r="D31" s="3" t="str">
        <x:v>1 cob</x:v>
      </x:c>
      <x:c r="E31" s="3" t="n">
        <x:v>1</x:v>
      </x:c>
      <x:c r="F31" s="3" t="str">
        <x:v>pc</x:v>
      </x:c>
      <x:c r="G31" s="27" t="n">
        <x:v>100</x:v>
      </x:c>
      <x:c r="H31" s="27" t="n">
        <x:v>100</x:v>
      </x:c>
      <x:c r="I31" s="3" t="str">
        <x:v>Local veg source</x:v>
      </x:c>
      <x:c r="J31" s="3" t="str">
        <x:v>Confirmed</x:v>
      </x:c>
    </x:row>
    <x:row r="32">
      <x:c r="A32" s="3" t="str">
        <x:v>Sauce</x:v>
      </x:c>
      <x:c r="B32" s="3" t="str">
        <x:v>Ketchup / Tomato Sauce</x:v>
      </x:c>
      <x:c r="C32" s="3" t="str">
        <x:v>Kist 4L</x:v>
      </x:c>
      <x:c r="D32" s="3" t="str">
        <x:v>4L pack</x:v>
      </x:c>
      <x:c r="E32" s="3" t="n">
        <x:v>4</x:v>
      </x:c>
      <x:c r="F32" s="3" t="str">
        <x:v>L</x:v>
      </x:c>
      <x:c r="G32" s="27" t="n">
        <x:v>1750</x:v>
      </x:c>
      <x:c r="H32" s="27" t="n">
        <x:v>437.5</x:v>
      </x:c>
      <x:c r="I32" s="3" t="str">
        <x:v>Ajantha</x:v>
      </x:c>
      <x:c r="J32" s="3" t="str">
        <x:v>Confirmed</x:v>
      </x:c>
    </x:row>
    <x:row r="33">
      <x:c r="A33" s="3" t="str">
        <x:v>Sauce</x:v>
      </x:c>
      <x:c r="B33" s="3" t="str">
        <x:v>BBQ Sauce</x:v>
      </x:c>
      <x:c r="C33" s="3" t="str">
        <x:v>Ma's Kitchen</x:v>
      </x:c>
      <x:c r="D33" s="3" t="str">
        <x:v>260ml bottle</x:v>
      </x:c>
      <x:c r="E33" s="3" t="n">
        <x:v>260</x:v>
      </x:c>
      <x:c r="F33" s="3" t="str">
        <x:v>ml</x:v>
      </x:c>
      <x:c r="G33" s="27" t="n">
        <x:v>620</x:v>
      </x:c>
      <x:c r="H33" s="27" t="n">
        <x:v>2.3846153846153846</x:v>
      </x:c>
      <x:c r="I33" s="3" t="str">
        <x:v>Best Buy</x:v>
      </x:c>
      <x:c r="J33" s="3" t="str">
        <x:v>Confirmed</x:v>
      </x:c>
    </x:row>
    <x:row r="34">
      <x:c r="A34" s="3" t="str">
        <x:v>Sauce</x:v>
      </x:c>
      <x:c r="B34" s="3" t="str">
        <x:v>Mayonnaise</x:v>
      </x:c>
      <x:c r="C34" s="3" t="str">
        <x:v>Bulk mayo</x:v>
      </x:c>
      <x:c r="D34" s="3" t="str">
        <x:v>3.78L pack</x:v>
      </x:c>
      <x:c r="E34" s="3" t="n">
        <x:v>3.78</x:v>
      </x:c>
      <x:c r="F34" s="3" t="str">
        <x:v>L</x:v>
      </x:c>
      <x:c r="G34" s="27" t="n">
        <x:v>3300</x:v>
      </x:c>
      <x:c r="H34" s="27" t="n">
        <x:v>873.015873015873</x:v>
      </x:c>
      <x:c r="I34" s="3" t="str">
        <x:v>Ajantha</x:v>
      </x:c>
      <x:c r="J34" s="3" t="str">
        <x:v>Confirmed</x:v>
      </x:c>
    </x:row>
    <x:row r="35">
      <x:c r="A35" s="3" t="str">
        <x:v>Seasoning</x:v>
      </x:c>
      <x:c r="B35" s="3" t="str">
        <x:v>Pepper Powder</x:v>
      </x:c>
      <x:c r="C35" s="3" t="str">
        <x:v>Powder spice</x:v>
      </x:c>
      <x:c r="D35" s="3" t="str">
        <x:v>100g pack</x:v>
      </x:c>
      <x:c r="E35" s="3" t="n">
        <x:v>100</x:v>
      </x:c>
      <x:c r="F35" s="3" t="str">
        <x:v>g</x:v>
      </x:c>
      <x:c r="G35" s="27" t="n">
        <x:v>500</x:v>
      </x:c>
      <x:c r="H35" s="27" t="n">
        <x:v>5</x:v>
      </x:c>
      <x:c r="I35" s="3" t="str">
        <x:v>Ajantha / Best Buy</x:v>
      </x:c>
      <x:c r="J35" s="3" t="str">
        <x:v>Confirmed</x:v>
      </x:c>
    </x:row>
    <x:row r="36">
      <x:c r="A36" s="3" t="str">
        <x:v>Seasoning</x:v>
      </x:c>
      <x:c r="B36" s="3" t="str">
        <x:v>Chilli Powder</x:v>
      </x:c>
      <x:c r="C36" s="3" t="str">
        <x:v>Powder spice</x:v>
      </x:c>
      <x:c r="D36" s="3" t="str">
        <x:v>100g pack</x:v>
      </x:c>
      <x:c r="E36" s="3" t="n">
        <x:v>100</x:v>
      </x:c>
      <x:c r="F36" s="3" t="str">
        <x:v>g</x:v>
      </x:c>
      <x:c r="G36" s="27" t="n">
        <x:v>170</x:v>
      </x:c>
      <x:c r="H36" s="27" t="n">
        <x:v>1.7</x:v>
      </x:c>
      <x:c r="I36" s="3" t="str">
        <x:v>Ajantha</x:v>
      </x:c>
      <x:c r="J36" s="3" t="str">
        <x:v>Confirmed</x:v>
      </x:c>
    </x:row>
    <x:row r="37">
      <x:c r="A37" s="3" t="str">
        <x:v>Seasoning</x:v>
      </x:c>
      <x:c r="B37" s="3" t="str">
        <x:v>Chilli Flakes</x:v>
      </x:c>
      <x:c r="C37" s="3" t="str">
        <x:v>Flakes</x:v>
      </x:c>
      <x:c r="D37" s="3" t="str">
        <x:v>100g pack</x:v>
      </x:c>
      <x:c r="E37" s="3" t="n">
        <x:v>100</x:v>
      </x:c>
      <x:c r="F37" s="3" t="str">
        <x:v>g</x:v>
      </x:c>
      <x:c r="G37" s="27" t="n">
        <x:v>200</x:v>
      </x:c>
      <x:c r="H37" s="27" t="n">
        <x:v>2</x:v>
      </x:c>
      <x:c r="I37" s="3" t="str">
        <x:v>Ajantha</x:v>
      </x:c>
      <x:c r="J37" s="3" t="str">
        <x:v>Confirmed</x:v>
      </x:c>
    </x:row>
    <x:row r="38">
      <x:c r="A38" s="3" t="str">
        <x:v>Seasoning</x:v>
      </x:c>
      <x:c r="B38" s="3" t="str">
        <x:v>Oregano</x:v>
      </x:c>
      <x:c r="C38" s="3" t="str">
        <x:v>Dried herb</x:v>
      </x:c>
      <x:c r="D38" s="3" t="str">
        <x:v>100g pack</x:v>
      </x:c>
      <x:c r="E38" s="3" t="n">
        <x:v>100</x:v>
      </x:c>
      <x:c r="F38" s="3" t="str">
        <x:v>g</x:v>
      </x:c>
      <x:c r="G38" s="27" t="n">
        <x:v>500</x:v>
      </x:c>
      <x:c r="H38" s="27" t="n">
        <x:v>5</x:v>
      </x:c>
      <x:c r="I38" s="3" t="str">
        <x:v>Ajantha / SMM</x:v>
      </x:c>
      <x:c r="J38" s="3" t="str">
        <x:v>Confirmed</x:v>
      </x:c>
    </x:row>
    <x:row r="39">
      <x:c r="A39" s="3" t="str">
        <x:v>Seasoning</x:v>
      </x:c>
      <x:c r="B39" s="3" t="str">
        <x:v>Garlic Powder</x:v>
      </x:c>
      <x:c r="C39" s="3" t="str">
        <x:v>Powder spice</x:v>
      </x:c>
      <x:c r="D39" s="3" t="str">
        <x:v>50g pack</x:v>
      </x:c>
      <x:c r="E39" s="3" t="n">
        <x:v>50</x:v>
      </x:c>
      <x:c r="F39" s="3" t="str">
        <x:v>g</x:v>
      </x:c>
      <x:c r="G39" s="27" t="n">
        <x:v>250</x:v>
      </x:c>
      <x:c r="H39" s="27" t="n">
        <x:v>5</x:v>
      </x:c>
      <x:c r="I39" s="3" t="str">
        <x:v>Ajantha</x:v>
      </x:c>
      <x:c r="J39" s="3" t="str">
        <x:v>Confirmed</x:v>
      </x:c>
    </x:row>
    <x:row r="40">
      <x:c r="A40" s="3" t="str">
        <x:v>Seasoning</x:v>
      </x:c>
      <x:c r="B40" s="3" t="str">
        <x:v>Ginger Powder</x:v>
      </x:c>
      <x:c r="C40" s="3" t="str">
        <x:v>Powder spice</x:v>
      </x:c>
      <x:c r="D40" s="3" t="str">
        <x:v>50g pack</x:v>
      </x:c>
      <x:c r="E40" s="3" t="n">
        <x:v>50</x:v>
      </x:c>
      <x:c r="F40" s="3" t="str">
        <x:v>g</x:v>
      </x:c>
      <x:c r="G40" s="27" t="n">
        <x:v>520</x:v>
      </x:c>
      <x:c r="H40" s="27" t="n">
        <x:v>10.4</x:v>
      </x:c>
      <x:c r="I40" s="3" t="str">
        <x:v>Ajantha</x:v>
      </x:c>
      <x:c r="J40" s="3" t="str">
        <x:v>Confirmed</x:v>
      </x:c>
    </x:row>
    <x:row r="41">
      <x:c r="A41" s="3" t="str">
        <x:v>Seasoning</x:v>
      </x:c>
      <x:c r="B41" s="3" t="str">
        <x:v>Paprika Powder</x:v>
      </x:c>
      <x:c r="C41" s="3" t="str">
        <x:v>Powder spice</x:v>
      </x:c>
      <x:c r="D41" s="3" t="str">
        <x:v>50g pack</x:v>
      </x:c>
      <x:c r="E41" s="3" t="n">
        <x:v>50</x:v>
      </x:c>
      <x:c r="F41" s="3" t="str">
        <x:v>g</x:v>
      </x:c>
      <x:c r="G41" s="27" t="n">
        <x:v>690</x:v>
      </x:c>
      <x:c r="H41" s="27" t="n">
        <x:v>13.8</x:v>
      </x:c>
      <x:c r="I41" s="3" t="str">
        <x:v>Ajantha</x:v>
      </x:c>
      <x:c r="J41" s="3" t="str">
        <x:v>Confirmed</x:v>
      </x:c>
    </x:row>
    <x:row r="42">
      <x:c r="A42" s="3" t="str">
        <x:v>Dairy</x:v>
      </x:c>
      <x:c r="B42" s="3" t="str">
        <x:v>Fresh Milk</x:v>
      </x:c>
      <x:c r="C42" s="3" t="str">
        <x:v>Liquid milk</x:v>
      </x:c>
      <x:c r="D42" s="3" t="str">
        <x:v>1L pack</x:v>
      </x:c>
      <x:c r="E42" s="3" t="n">
        <x:v>1</x:v>
      </x:c>
      <x:c r="F42" s="3" t="str">
        <x:v>L</x:v>
      </x:c>
      <x:c r="G42" s="27" t="n">
        <x:v>500</x:v>
      </x:c>
      <x:c r="H42" s="27" t="n">
        <x:v>500</x:v>
      </x:c>
      <x:c r="I42" s="3" t="str">
        <x:v>Local supplier</x:v>
      </x:c>
      <x:c r="J42" s="3" t="str">
        <x:v>Confirmed</x:v>
      </x:c>
    </x:row>
    <x:row r="43">
      <x:c r="A43" s="3" t="str">
        <x:v>Sweet / Shake</x:v>
      </x:c>
      <x:c r="B43" s="3" t="str">
        <x:v>Chocolate</x:v>
      </x:c>
      <x:c r="C43" s="3" t="str">
        <x:v>Solid chocolate</x:v>
      </x:c>
      <x:c r="D43" s="3" t="str">
        <x:v>400g pack</x:v>
      </x:c>
      <x:c r="E43" s="3" t="n">
        <x:v>400</x:v>
      </x:c>
      <x:c r="F43" s="3" t="str">
        <x:v>g</x:v>
      </x:c>
      <x:c r="G43" s="27" t="n">
        <x:v>730</x:v>
      </x:c>
      <x:c r="H43" s="27" t="n">
        <x:v>1.825</x:v>
      </x:c>
      <x:c r="I43" s="3" t="str">
        <x:v>Local supplier</x:v>
      </x:c>
      <x:c r="J43" s="3" t="str">
        <x:v>Confirmed</x:v>
      </x:c>
    </x:row>
    <x:row r="44">
      <x:c r="A44" s="3" t="str">
        <x:v>Sweet / Shake</x:v>
      </x:c>
      <x:c r="B44" s="3" t="str">
        <x:v>Milo</x:v>
      </x:c>
      <x:c r="C44" s="3" t="str">
        <x:v>Malted drink powder</x:v>
      </x:c>
      <x:c r="D44" s="3" t="str">
        <x:v>400g pack</x:v>
      </x:c>
      <x:c r="E44" s="3" t="n">
        <x:v>400</x:v>
      </x:c>
      <x:c r="F44" s="3" t="str">
        <x:v>g</x:v>
      </x:c>
      <x:c r="G44" s="27" t="n">
        <x:v>860</x:v>
      </x:c>
      <x:c r="H44" s="27" t="n">
        <x:v>2.15</x:v>
      </x:c>
      <x:c r="I44" s="3" t="str">
        <x:v>Local supplier</x:v>
      </x:c>
      <x:c r="J44" s="3" t="str">
        <x:v>Confirmed</x:v>
      </x:c>
    </x:row>
    <x:row r="45">
      <x:c r="A45" s="3" t="str">
        <x:v>Ice Cream</x:v>
      </x:c>
      <x:c r="B45" s="3" t="str">
        <x:v>Chocolate Ice Cream</x:v>
      </x:c>
      <x:c r="C45" s="3" t="str">
        <x:v>Kotmale</x:v>
      </x:c>
      <x:c r="D45" s="3" t="str">
        <x:v>1L tub</x:v>
      </x:c>
      <x:c r="E45" s="3" t="n">
        <x:v>1</x:v>
      </x:c>
      <x:c r="F45" s="3" t="str">
        <x:v>L</x:v>
      </x:c>
      <x:c r="G45" s="27" t="n">
        <x:v>600</x:v>
      </x:c>
      <x:c r="H45" s="27" t="n">
        <x:v>600</x:v>
      </x:c>
      <x:c r="I45" s="3" t="str">
        <x:v>Kotmale / retail</x:v>
      </x:c>
      <x:c r="J45" s="3" t="str">
        <x:v>Working</x:v>
      </x:c>
    </x:row>
    <x:row r="46">
      <x:c r="A46" s="3" t="str">
        <x:v>Ice Cream</x:v>
      </x:c>
      <x:c r="B46" s="3" t="str">
        <x:v>Vanilla Ice Cream</x:v>
      </x:c>
      <x:c r="C46" s="3" t="str">
        <x:v>Kotmale</x:v>
      </x:c>
      <x:c r="D46" s="3" t="str">
        <x:v>1L tub</x:v>
      </x:c>
      <x:c r="E46" s="3" t="n">
        <x:v>1</x:v>
      </x:c>
      <x:c r="F46" s="3" t="str">
        <x:v>L</x:v>
      </x:c>
      <x:c r="G46" s="27" t="n">
        <x:v>550</x:v>
      </x:c>
      <x:c r="H46" s="27" t="n">
        <x:v>550</x:v>
      </x:c>
      <x:c r="I46" s="3" t="str">
        <x:v>Kotmale / retail</x:v>
      </x:c>
      <x:c r="J46" s="3" t="str">
        <x:v>Working</x:v>
      </x:c>
    </x:row>
    <x:row r="47">
      <x:c r="A47" s="3" t="str">
        <x:v>Sweet / Shake</x:v>
      </x:c>
      <x:c r="B47" s="3" t="str">
        <x:v>Kist Olo Biscuit</x:v>
      </x:c>
      <x:c r="C47" s="3" t="str">
        <x:v>140g pack / 13 biscuits</x:v>
      </x:c>
      <x:c r="D47" s="3" t="str">
        <x:v>13 biscuits</x:v>
      </x:c>
      <x:c r="E47" s="3" t="n">
        <x:v>13</x:v>
      </x:c>
      <x:c r="F47" s="3" t="str">
        <x:v>pcs</x:v>
      </x:c>
      <x:c r="G47" s="27" t="n">
        <x:v>280</x:v>
      </x:c>
      <x:c r="H47" s="27" t="n">
        <x:v>21.53846153846154</x:v>
      </x:c>
      <x:c r="I47" s="3" t="str">
        <x:v>Retail</x:v>
      </x:c>
      <x:c r="J47" s="3" t="str">
        <x:v>Confirmed</x:v>
      </x:c>
    </x:row>
    <x:row r="48">
      <x:c r="A48" s="3" t="str">
        <x:v>Sweet / Shake</x:v>
      </x:c>
      <x:c r="B48" s="3" t="str">
        <x:v>Chocolate Wafer Stick</x:v>
      </x:c>
      <x:c r="C48" s="3" t="str">
        <x:v>96 pcs pack</x:v>
      </x:c>
      <x:c r="D48" s="3" t="str">
        <x:v>96 pcs</x:v>
      </x:c>
      <x:c r="E48" s="3" t="n">
        <x:v>96</x:v>
      </x:c>
      <x:c r="F48" s="3" t="str">
        <x:v>pcs</x:v>
      </x:c>
      <x:c r="G48" s="27" t="n">
        <x:v>888</x:v>
      </x:c>
      <x:c r="H48" s="27" t="n">
        <x:v>9.25</x:v>
      </x:c>
      <x:c r="I48" s="3" t="str">
        <x:v>Retail</x:v>
      </x:c>
      <x:c r="J48" s="3" t="str">
        <x:v>Confirmed</x:v>
      </x:c>
    </x:row>
    <x:row r="49">
      <x:c r="A49" s="3" t="str">
        <x:v>Sweet / Shake</x:v>
      </x:c>
      <x:c r="B49" s="3" t="str">
        <x:v>Chocolate Syrup</x:v>
      </x:c>
      <x:c r="C49" s="3" t="str">
        <x:v>270ml bottle</x:v>
      </x:c>
      <x:c r="D49" s="3" t="str">
        <x:v>270ml</x:v>
      </x:c>
      <x:c r="E49" s="3" t="n">
        <x:v>270</x:v>
      </x:c>
      <x:c r="F49" s="3" t="str">
        <x:v>ml</x:v>
      </x:c>
      <x:c r="G49" s="27" t="n">
        <x:v>1045</x:v>
      </x:c>
      <x:c r="H49" s="27" t="n">
        <x:v>3.8703703703703702</x:v>
      </x:c>
      <x:c r="I49" s="3" t="str">
        <x:v>Retail</x:v>
      </x:c>
      <x:c r="J49" s="3" t="str">
        <x:v>Confirmed</x:v>
      </x:c>
    </x:row>
    <x:row r="50">
      <x:c r="A50" s="3" t="str">
        <x:v>Cheese</x:v>
      </x:c>
      <x:c r="B50" s="3" t="str">
        <x:v>Parmesan Cheese</x:v>
      </x:c>
      <x:c r="C50" s="3" t="str">
        <x:v>Bulk parmesan</x:v>
      </x:c>
      <x:c r="D50" s="3" t="str">
        <x:v>2kg pack</x:v>
      </x:c>
      <x:c r="E50" s="3" t="n">
        <x:v>2</x:v>
      </x:c>
      <x:c r="F50" s="3" t="str">
        <x:v>kg</x:v>
      </x:c>
      <x:c r="G50" s="27" t="n">
        <x:v>12000</x:v>
      </x:c>
      <x:c r="H50" s="27" t="n">
        <x:v>6000</x:v>
      </x:c>
      <x:c r="I50" s="3" t="str">
        <x:v>Supplier not yet mapped</x:v>
      </x:c>
      <x:c r="J50" s="3" t="str">
        <x:v>Confirmed</x:v>
      </x:c>
    </x:row>
    <x:row r="51">
      <x:c r="A51" s="3" t="str">
        <x:v>Pasta</x:v>
      </x:c>
      <x:c r="B51" s="3" t="str">
        <x:v>Spaghetti</x:v>
      </x:c>
      <x:c r="C51" s="3" t="str">
        <x:v>Dry pasta</x:v>
      </x:c>
      <x:c r="D51" s="3" t="str">
        <x:v>400g pack</x:v>
      </x:c>
      <x:c r="E51" s="3" t="n">
        <x:v>400</x:v>
      </x:c>
      <x:c r="F51" s="3" t="str">
        <x:v>g</x:v>
      </x:c>
      <x:c r="G51" s="27" t="n">
        <x:v>400</x:v>
      </x:c>
      <x:c r="H51" s="27" t="n">
        <x:v>1</x:v>
      </x:c>
      <x:c r="I51" s="3" t="str">
        <x:v>Locked Mar 2026</x:v>
      </x:c>
      <x:c r="J51" s="3" t="str">
        <x:v>Confirmed</x:v>
      </x:c>
    </x:row>
    <x:row r="52">
      <x:c r="A52" s="3" t="str">
        <x:v>Pasta</x:v>
      </x:c>
      <x:c r="B52" s="3" t="str">
        <x:v>Penne</x:v>
      </x:c>
      <x:c r="C52" s="3" t="str">
        <x:v>Dry pasta</x:v>
      </x:c>
      <x:c r="D52" s="3" t="str">
        <x:v>400g pack</x:v>
      </x:c>
      <x:c r="E52" s="3" t="n">
        <x:v>400</x:v>
      </x:c>
      <x:c r="F52" s="3" t="str">
        <x:v>g</x:v>
      </x:c>
      <x:c r="G52" s="27" t="n">
        <x:v>250</x:v>
      </x:c>
      <x:c r="H52" s="27" t="n">
        <x:v>0.625</x:v>
      </x:c>
      <x:c r="I52" s="3" t="str">
        <x:v>Locked Mar 2026</x:v>
      </x:c>
      <x:c r="J52" s="3" t="str">
        <x:v>Confirmed</x:v>
      </x:c>
    </x:row>
    <x:row r="53">
      <x:c r="A53" s="3" t="str">
        <x:v>Seasoning</x:v>
      </x:c>
      <x:c r="B53" s="3" t="str">
        <x:v>Thyme</x:v>
      </x:c>
      <x:c r="C53" s="3" t="str">
        <x:v>Dried herb</x:v>
      </x:c>
      <x:c r="D53" s="3" t="str">
        <x:v>10g pack</x:v>
      </x:c>
      <x:c r="E53" s="3" t="n">
        <x:v>10</x:v>
      </x:c>
      <x:c r="F53" s="3" t="str">
        <x:v>g</x:v>
      </x:c>
      <x:c r="G53" s="27" t="n">
        <x:v>80</x:v>
      </x:c>
      <x:c r="H53" s="27" t="n">
        <x:v>8</x:v>
      </x:c>
      <x:c r="I53" s="3" t="str">
        <x:v>Locked Mar 2026</x:v>
      </x:c>
      <x:c r="J53" s="3" t="str">
        <x:v>Confirmed</x:v>
      </x:c>
    </x:row>
    <x:row r="54">
      <x:c r="A54" s="3" t="str">
        <x:v>Seasoning</x:v>
      </x:c>
      <x:c r="B54" s="3" t="str">
        <x:v>Bay Leaf</x:v>
      </x:c>
      <x:c r="C54" s="3" t="str">
        <x:v>Dried herb</x:v>
      </x:c>
      <x:c r="D54" s="3" t="str">
        <x:v>10g pack</x:v>
      </x:c>
      <x:c r="E54" s="3" t="n">
        <x:v>10</x:v>
      </x:c>
      <x:c r="F54" s="3" t="str">
        <x:v>g</x:v>
      </x:c>
      <x:c r="G54" s="27" t="n">
        <x:v>95</x:v>
      </x:c>
      <x:c r="H54" s="27" t="n">
        <x:v>9.5</x:v>
      </x:c>
      <x:c r="I54" s="3" t="str">
        <x:v>Locked Mar 2026</x:v>
      </x:c>
      <x:c r="J54" s="3" t="str">
        <x:v>Confirmed</x:v>
      </x:c>
    </x:row>
    <x:row r="55">
      <x:c r="A55" s="3" t="str">
        <x:v>Seasoning</x:v>
      </x:c>
      <x:c r="B55" s="3" t="str">
        <x:v>Rosemary</x:v>
      </x:c>
      <x:c r="C55" s="3" t="str">
        <x:v>Dried herb</x:v>
      </x:c>
      <x:c r="D55" s="3" t="str">
        <x:v>10g pack</x:v>
      </x:c>
      <x:c r="E55" s="3" t="n">
        <x:v>10</x:v>
      </x:c>
      <x:c r="F55" s="3" t="str">
        <x:v>g</x:v>
      </x:c>
      <x:c r="G55" s="27" t="n">
        <x:v>85</x:v>
      </x:c>
      <x:c r="H55" s="27" t="n">
        <x:v>8.5</x:v>
      </x:c>
      <x:c r="I55" s="3" t="str">
        <x:v>Locked Mar 2026</x:v>
      </x:c>
      <x:c r="J55" s="3" t="str">
        <x:v>Confirmed</x:v>
      </x:c>
    </x:row>
    <x:row r="56">
      <x:c r="A56" s="3" t="str">
        <x:v>Seasoning</x:v>
      </x:c>
      <x:c r="B56" s="3" t="str">
        <x:v>Turmeric</x:v>
      </x:c>
      <x:c r="C56" s="3" t="str">
        <x:v>Powder spice</x:v>
      </x:c>
      <x:c r="D56" s="3" t="str">
        <x:v>50g pack</x:v>
      </x:c>
      <x:c r="E56" s="3" t="n">
        <x:v>50</x:v>
      </x:c>
      <x:c r="F56" s="3" t="str">
        <x:v>g</x:v>
      </x:c>
      <x:c r="G56" s="27" t="n">
        <x:v>480</x:v>
      </x:c>
      <x:c r="H56" s="27" t="n">
        <x:v>9.6</x:v>
      </x:c>
      <x:c r="I56" s="3" t="str">
        <x:v>Locked Mar 2026</x:v>
      </x:c>
      <x:c r="J56" s="3" t="str">
        <x:v>Confirmed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6529ced345dc4bf7"/>
  </x:tableParts>
</x:worksheet>
</file>